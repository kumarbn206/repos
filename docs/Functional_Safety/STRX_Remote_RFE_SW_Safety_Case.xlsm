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nxp99374\Desktop\"/>
    </mc:Choice>
  </mc:AlternateContent>
  <xr:revisionPtr revIDLastSave="0" documentId="13_ncr:1_{E4B7B5BF-ADEB-4ABC-AB49-2773B1D675A3}" xr6:coauthVersionLast="47" xr6:coauthVersionMax="47" xr10:uidLastSave="{00000000-0000-0000-0000-000000000000}"/>
  <bookViews>
    <workbookView xWindow="-110" yWindow="-110" windowWidth="19420" windowHeight="10420" tabRatio="681" firstSheet="2" activeTab="4" xr2:uid="{00000000-000D-0000-FFFF-FFFF00000000}"/>
  </bookViews>
  <sheets>
    <sheet name="Template Info" sheetId="4" state="hidden" r:id="rId1"/>
    <sheet name="Document Info" sheetId="5" r:id="rId2"/>
    <sheet name="ISO 26262 Safety Case" sheetId="21" r:id="rId3"/>
    <sheet name="Sign Off Checklist" sheetId="14" r:id="rId4"/>
    <sheet name="Product Impact Analysis" sheetId="22" r:id="rId5"/>
    <sheet name="CIB_Deliverables" sheetId="11" r:id="rId6"/>
    <sheet name="Components" sheetId="20" r:id="rId7"/>
    <sheet name="Work Instructions" sheetId="6" r:id="rId8"/>
    <sheet name="Abbreviation" sheetId="17" r:id="rId9"/>
    <sheet name="Sheet1" sheetId="10" state="hidden" r:id="rId10"/>
  </sheets>
  <externalReferences>
    <externalReference r:id="rId11"/>
  </externalReferences>
  <definedNames>
    <definedName name="_xlnm._FilterDatabase" localSheetId="5" hidden="1">CIB_Deliverables!$A$9:$AC$80</definedName>
    <definedName name="_xlnm._FilterDatabase" localSheetId="2" hidden="1">'ISO 26262 Safety Case'!$B$6:$O$153</definedName>
    <definedName name="_xlnm._FilterDatabase" localSheetId="4" hidden="1">'Product Impact Analysis'!$B$15:$I$15</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okup_data" localSheetId="4">[1]CIB_Deliverables!$B$10:$B$112</definedName>
    <definedName name="lookup_data">CIB_Deliverables!$B$10:$B$112</definedName>
    <definedName name="var_DataSheet_AA" localSheetId="6">#REF!</definedName>
    <definedName name="var_DataSheet_AA" localSheetId="2">'ISO 26262 Safety Case'!#REF!</definedName>
    <definedName name="var_DataSheet_AA" localSheetId="4">#REF!</definedName>
    <definedName name="var_DataSheet_AA">#REF!</definedName>
    <definedName name="var_DataSheet_AB" localSheetId="6">#REF!</definedName>
    <definedName name="var_DataSheet_AB" localSheetId="2">'ISO 26262 Safety Case'!#REF!</definedName>
    <definedName name="var_DataSheet_AB" localSheetId="4">#REF!</definedName>
    <definedName name="var_DataSheet_AB">#REF!</definedName>
    <definedName name="var_DataSheet_T" localSheetId="2">'ISO 26262 Safety Case'!$N$55</definedName>
    <definedName name="var_DataSheet_T" localSheetId="4">#REF!</definedName>
    <definedName name="var_DataSheet_T">#REF!</definedName>
    <definedName name="var_DataSheet_U" localSheetId="6">#REF!</definedName>
    <definedName name="var_DataSheet_U" localSheetId="2">'ISO 26262 Safety Case'!#REF!</definedName>
    <definedName name="var_DataSheet_U" localSheetId="4">#REF!</definedName>
    <definedName name="var_DataSheet_U">#REF!</definedName>
    <definedName name="var_Errata_Impact_Analysis_AA" localSheetId="6">#REF!</definedName>
    <definedName name="var_Errata_Impact_Analysis_AA" localSheetId="2">'ISO 26262 Safety Case'!#REF!</definedName>
    <definedName name="var_Errata_Impact_Analysis_AA" localSheetId="4">#REF!</definedName>
    <definedName name="var_Errata_Impact_Analysis_AA">#REF!</definedName>
    <definedName name="var_Errata_Impact_Analysis_AB" localSheetId="6">#REF!</definedName>
    <definedName name="var_Errata_Impact_Analysis_AB" localSheetId="2">'ISO 26262 Safety Case'!#REF!</definedName>
    <definedName name="var_Errata_Impact_Analysis_AB" localSheetId="4">#REF!</definedName>
    <definedName name="var_Errata_Impact_Analysis_AB">#REF!</definedName>
    <definedName name="var_Errata_Impact_Analysis_T" localSheetId="6">#REF!</definedName>
    <definedName name="var_Errata_Impact_Analysis_T" localSheetId="2">'ISO 26262 Safety Case'!#REF!</definedName>
    <definedName name="var_Errata_Impact_Analysis_T" localSheetId="4">#REF!</definedName>
    <definedName name="var_Errata_Impact_Analysis_T">#REF!</definedName>
    <definedName name="var_Errata_Impact_Analysis_U" localSheetId="6">#REF!</definedName>
    <definedName name="var_Errata_Impact_Analysis_U" localSheetId="2">'ISO 26262 Safety Case'!#REF!</definedName>
    <definedName name="var_Errata_Impact_Analysis_U" localSheetId="4">#REF!</definedName>
    <definedName name="var_Errata_Impact_Analysis_U">#REF!</definedName>
    <definedName name="var_new_qms_5.5.1_AA" localSheetId="6">#REF!</definedName>
    <definedName name="var_new_qms_5.5.1_AA" localSheetId="2">'ISO 26262 Safety Case'!#REF!</definedName>
    <definedName name="var_new_qms_5.5.1_AA" localSheetId="4">#REF!</definedName>
    <definedName name="var_new_qms_5.5.1_AA">#REF!</definedName>
    <definedName name="var_new_qms_5.5.1_AB" localSheetId="6">#REF!</definedName>
    <definedName name="var_new_qms_5.5.1_AB" localSheetId="2">'ISO 26262 Safety Case'!#REF!</definedName>
    <definedName name="var_new_qms_5.5.1_AB" localSheetId="4">#REF!</definedName>
    <definedName name="var_new_qms_5.5.1_AB">#REF!</definedName>
    <definedName name="var_new_qms_5.5.1_T" localSheetId="6">#REF!</definedName>
    <definedName name="var_new_qms_5.5.1_T" localSheetId="2">'ISO 26262 Safety Case'!#REF!</definedName>
    <definedName name="var_new_qms_5.5.1_T" localSheetId="4">#REF!</definedName>
    <definedName name="var_new_qms_5.5.1_T">#REF!</definedName>
    <definedName name="var_new_qms_5.5.1_U" localSheetId="6">#REF!</definedName>
    <definedName name="var_new_qms_5.5.1_U" localSheetId="2">'ISO 26262 Safety Case'!#REF!</definedName>
    <definedName name="var_new_qms_5.5.1_U" localSheetId="4">#REF!</definedName>
    <definedName name="var_new_qms_5.5.1_U">#REF!</definedName>
    <definedName name="var_sc_AA116" localSheetId="4">'[1]ISO 26262 Safety Case'!#REF!</definedName>
    <definedName name="var_sc_AA116">'ISO 26262 Safety Case'!#REF!</definedName>
    <definedName name="var_sc_AA117" localSheetId="4">'[1]ISO 26262 Safety Case'!#REF!</definedName>
    <definedName name="var_sc_AA117">'ISO 26262 Safety Case'!#REF!</definedName>
    <definedName name="var_sc_AA118" localSheetId="4">'[1]ISO 26262 Safety Case'!#REF!</definedName>
    <definedName name="var_sc_AA118">'ISO 26262 Safety Case'!#REF!</definedName>
    <definedName name="var_sc_AA119" localSheetId="4">'[1]ISO 26262 Safety Case'!#REF!</definedName>
    <definedName name="var_sc_AA119">'ISO 26262 Safety Case'!#REF!</definedName>
    <definedName name="var_sc_AA12" localSheetId="4">'[1]ISO 26262 Safety Case'!#REF!</definedName>
    <definedName name="var_sc_AA12">'ISO 26262 Safety Case'!#REF!</definedName>
    <definedName name="var_sc_AA120" localSheetId="4">'[1]ISO 26262 Safety Case'!#REF!</definedName>
    <definedName name="var_sc_AA120">'ISO 26262 Safety Case'!#REF!</definedName>
    <definedName name="var_sc_AA124" localSheetId="4">'[1]ISO 26262 Safety Case'!#REF!</definedName>
    <definedName name="var_sc_AA124">'ISO 26262 Safety Case'!#REF!</definedName>
    <definedName name="var_sc_AA128" localSheetId="4">'[1]ISO 26262 Safety Case'!#REF!</definedName>
    <definedName name="var_sc_AA128">'ISO 26262 Safety Case'!#REF!</definedName>
    <definedName name="var_sc_AA129" localSheetId="4">'[1]ISO 26262 Safety Case'!#REF!</definedName>
    <definedName name="var_sc_AA129">'ISO 26262 Safety Case'!#REF!</definedName>
    <definedName name="var_sc_AA13" localSheetId="4">'[1]ISO 26262 Safety Case'!#REF!</definedName>
    <definedName name="var_sc_AA13">'ISO 26262 Safety Case'!#REF!</definedName>
    <definedName name="var_sc_AA130" localSheetId="4">'[1]ISO 26262 Safety Case'!#REF!</definedName>
    <definedName name="var_sc_AA130">'ISO 26262 Safety Case'!#REF!</definedName>
    <definedName name="var_sc_AA131" localSheetId="4">'[1]ISO 26262 Safety Case'!#REF!</definedName>
    <definedName name="var_sc_AA131">'ISO 26262 Safety Case'!#REF!</definedName>
    <definedName name="var_sc_AA132" localSheetId="4">'[1]ISO 26262 Safety Case'!#REF!</definedName>
    <definedName name="var_sc_AA132">'ISO 26262 Safety Case'!#REF!</definedName>
    <definedName name="var_sc_AA133" localSheetId="4">'[1]ISO 26262 Safety Case'!#REF!</definedName>
    <definedName name="var_sc_AA133">'ISO 26262 Safety Case'!#REF!</definedName>
    <definedName name="var_sc_AA134" localSheetId="4">'[1]ISO 26262 Safety Case'!#REF!</definedName>
    <definedName name="var_sc_AA134">'ISO 26262 Safety Case'!#REF!</definedName>
    <definedName name="var_sc_AA138" localSheetId="4">'[1]ISO 26262 Safety Case'!#REF!</definedName>
    <definedName name="var_sc_AA138">'ISO 26262 Safety Case'!#REF!</definedName>
    <definedName name="var_sc_AA139" localSheetId="4">'[1]ISO 26262 Safety Case'!#REF!</definedName>
    <definedName name="var_sc_AA139">'ISO 26262 Safety Case'!#REF!</definedName>
    <definedName name="var_sc_AA140" localSheetId="4">'[1]ISO 26262 Safety Case'!#REF!</definedName>
    <definedName name="var_sc_AA140">'ISO 26262 Safety Case'!#REF!</definedName>
    <definedName name="var_sc_AA141" localSheetId="4">'[1]ISO 26262 Safety Case'!#REF!</definedName>
    <definedName name="var_sc_AA141">'ISO 26262 Safety Case'!#REF!</definedName>
    <definedName name="var_sc_AA142" localSheetId="4">'[1]ISO 26262 Safety Case'!#REF!</definedName>
    <definedName name="var_sc_AA142">'ISO 26262 Safety Case'!#REF!</definedName>
    <definedName name="var_sc_AA143" localSheetId="4">'[1]ISO 26262 Safety Case'!#REF!</definedName>
    <definedName name="var_sc_AA143">'ISO 26262 Safety Case'!#REF!</definedName>
    <definedName name="var_sc_AA144" localSheetId="4">'[1]ISO 26262 Safety Case'!#REF!</definedName>
    <definedName name="var_sc_AA144">'ISO 26262 Safety Case'!#REF!</definedName>
    <definedName name="var_sc_AA145" localSheetId="4">'[1]ISO 26262 Safety Case'!#REF!</definedName>
    <definedName name="var_sc_AA145">'ISO 26262 Safety Case'!#REF!</definedName>
    <definedName name="var_sc_AA147" localSheetId="4">'[1]ISO 26262 Safety Case'!#REF!</definedName>
    <definedName name="var_sc_AA147">'ISO 26262 Safety Case'!#REF!</definedName>
    <definedName name="var_sc_AA148" localSheetId="4">'[1]ISO 26262 Safety Case'!#REF!</definedName>
    <definedName name="var_sc_AA148">'ISO 26262 Safety Case'!#REF!</definedName>
    <definedName name="var_sc_AA149" localSheetId="4">'[1]ISO 26262 Safety Case'!#REF!</definedName>
    <definedName name="var_sc_AA149">'ISO 26262 Safety Case'!#REF!</definedName>
    <definedName name="var_sc_AA15" localSheetId="4">'[1]ISO 26262 Safety Case'!#REF!</definedName>
    <definedName name="var_sc_AA15">'ISO 26262 Safety Case'!#REF!</definedName>
    <definedName name="var_sc_AA152" localSheetId="4">'[1]ISO 26262 Safety Case'!#REF!</definedName>
    <definedName name="var_sc_AA152">'ISO 26262 Safety Case'!#REF!</definedName>
    <definedName name="var_sc_AA153" localSheetId="4">'[1]ISO 26262 Safety Case'!#REF!</definedName>
    <definedName name="var_sc_AA153">'ISO 26262 Safety Case'!#REF!</definedName>
    <definedName name="var_sc_AA154" localSheetId="4">'[1]ISO 26262 Safety Case'!#REF!</definedName>
    <definedName name="var_sc_AA154">'ISO 26262 Safety Case'!#REF!</definedName>
    <definedName name="var_sc_AA155" localSheetId="4">'[1]ISO 26262 Safety Case'!#REF!</definedName>
    <definedName name="var_sc_AA155">'ISO 26262 Safety Case'!#REF!</definedName>
    <definedName name="var_sc_AA16" localSheetId="4">'[1]ISO 26262 Safety Case'!#REF!</definedName>
    <definedName name="var_sc_AA16">'ISO 26262 Safety Case'!#REF!</definedName>
    <definedName name="var_sc_AA160" localSheetId="4">'[1]ISO 26262 Safety Case'!#REF!</definedName>
    <definedName name="var_sc_AA160">'ISO 26262 Safety Case'!#REF!</definedName>
    <definedName name="var_sc_AA161" localSheetId="4">'[1]ISO 26262 Safety Case'!#REF!</definedName>
    <definedName name="var_sc_AA161">'ISO 26262 Safety Case'!#REF!</definedName>
    <definedName name="var_sc_AA168" localSheetId="4">'[1]ISO 26262 Safety Case'!#REF!</definedName>
    <definedName name="var_sc_AA168">'ISO 26262 Safety Case'!#REF!</definedName>
    <definedName name="var_sc_AA169" localSheetId="4">'[1]ISO 26262 Safety Case'!#REF!</definedName>
    <definedName name="var_sc_AA169">'ISO 26262 Safety Case'!#REF!</definedName>
    <definedName name="var_sc_AA17" localSheetId="4">'[1]ISO 26262 Safety Case'!#REF!</definedName>
    <definedName name="var_sc_AA17">'ISO 26262 Safety Case'!#REF!</definedName>
    <definedName name="var_sc_AA170" localSheetId="4">'[1]ISO 26262 Safety Case'!#REF!</definedName>
    <definedName name="var_sc_AA170">'ISO 26262 Safety Case'!#REF!</definedName>
    <definedName name="var_sc_AA18" localSheetId="4">'[1]ISO 26262 Safety Case'!#REF!</definedName>
    <definedName name="var_sc_AA18">'ISO 26262 Safety Case'!#REF!</definedName>
    <definedName name="var_sc_AA19" localSheetId="4">'[1]ISO 26262 Safety Case'!#REF!</definedName>
    <definedName name="var_sc_AA19">'ISO 26262 Safety Case'!#REF!</definedName>
    <definedName name="var_sc_AA21" localSheetId="4">'[1]ISO 26262 Safety Case'!#REF!</definedName>
    <definedName name="var_sc_AA21">'ISO 26262 Safety Case'!#REF!</definedName>
    <definedName name="var_sc_AA22" localSheetId="4">'[1]ISO 26262 Safety Case'!#REF!</definedName>
    <definedName name="var_sc_AA22">'ISO 26262 Safety Case'!#REF!</definedName>
    <definedName name="var_sc_AA23" localSheetId="4">'[1]ISO 26262 Safety Case'!#REF!</definedName>
    <definedName name="var_sc_AA23">'ISO 26262 Safety Case'!#REF!</definedName>
    <definedName name="var_sc_AA24" localSheetId="4">'[1]ISO 26262 Safety Case'!#REF!</definedName>
    <definedName name="var_sc_AA24">'ISO 26262 Safety Case'!#REF!</definedName>
    <definedName name="var_sc_AA25" localSheetId="4">'[1]ISO 26262 Safety Case'!#REF!</definedName>
    <definedName name="var_sc_AA25">'ISO 26262 Safety Case'!#REF!</definedName>
    <definedName name="var_sc_AA26" localSheetId="4">'[1]ISO 26262 Safety Case'!#REF!</definedName>
    <definedName name="var_sc_AA26">'ISO 26262 Safety Case'!#REF!</definedName>
    <definedName name="var_sc_AA27" localSheetId="4">'[1]ISO 26262 Safety Case'!#REF!</definedName>
    <definedName name="var_sc_AA27">'ISO 26262 Safety Case'!#REF!</definedName>
    <definedName name="var_sc_AA28" localSheetId="4">'[1]ISO 26262 Safety Case'!#REF!</definedName>
    <definedName name="var_sc_AA28">'ISO 26262 Safety Case'!#REF!</definedName>
    <definedName name="var_sc_AA45" localSheetId="4">'[1]ISO 26262 Safety Case'!#REF!</definedName>
    <definedName name="var_sc_AA45">'ISO 26262 Safety Case'!#REF!</definedName>
    <definedName name="var_sc_AA46" localSheetId="4">'[1]ISO 26262 Safety Case'!#REF!</definedName>
    <definedName name="var_sc_AA46">'ISO 26262 Safety Case'!#REF!</definedName>
    <definedName name="var_sc_AA48" localSheetId="4">'[1]ISO 26262 Safety Case'!#REF!</definedName>
    <definedName name="var_sc_AA48">'ISO 26262 Safety Case'!#REF!</definedName>
    <definedName name="var_sc_AA52" localSheetId="4">'[1]ISO 26262 Safety Case'!#REF!</definedName>
    <definedName name="var_sc_AA52">'ISO 26262 Safety Case'!#REF!</definedName>
    <definedName name="var_sc_AA59" localSheetId="4">'[1]ISO 26262 Safety Case'!#REF!</definedName>
    <definedName name="var_sc_AA59">'ISO 26262 Safety Case'!#REF!</definedName>
    <definedName name="var_sc_AA60" localSheetId="4">'[1]ISO 26262 Safety Case'!#REF!</definedName>
    <definedName name="var_sc_AA60">'ISO 26262 Safety Case'!#REF!</definedName>
    <definedName name="var_sc_AA61" localSheetId="4">'[1]ISO 26262 Safety Case'!#REF!</definedName>
    <definedName name="var_sc_AA61">'ISO 26262 Safety Case'!#REF!</definedName>
    <definedName name="var_sc_AA62" localSheetId="4">'[1]ISO 26262 Safety Case'!#REF!</definedName>
    <definedName name="var_sc_AA62">'ISO 26262 Safety Case'!#REF!</definedName>
    <definedName name="var_sc_AA64" localSheetId="4">'[1]ISO 26262 Safety Case'!#REF!</definedName>
    <definedName name="var_sc_AA64">'ISO 26262 Safety Case'!#REF!</definedName>
    <definedName name="var_sc_AA65" localSheetId="4">'[1]ISO 26262 Safety Case'!#REF!</definedName>
    <definedName name="var_sc_AA65">'ISO 26262 Safety Case'!#REF!</definedName>
    <definedName name="var_sc_AA66" localSheetId="4">'[1]ISO 26262 Safety Case'!#REF!</definedName>
    <definedName name="var_sc_AA66">'ISO 26262 Safety Case'!#REF!</definedName>
    <definedName name="var_sc_AA67" localSheetId="4">'[1]ISO 26262 Safety Case'!#REF!</definedName>
    <definedName name="var_sc_AA67">'ISO 26262 Safety Case'!#REF!</definedName>
    <definedName name="var_sc_AA68" localSheetId="4">'[1]ISO 26262 Safety Case'!#REF!</definedName>
    <definedName name="var_sc_AA68">'ISO 26262 Safety Case'!#REF!</definedName>
    <definedName name="var_sc_AA69" localSheetId="4">'[1]ISO 26262 Safety Case'!#REF!</definedName>
    <definedName name="var_sc_AA69">'ISO 26262 Safety Case'!#REF!</definedName>
    <definedName name="var_sc_AA70" localSheetId="4">'[1]ISO 26262 Safety Case'!#REF!</definedName>
    <definedName name="var_sc_AA70">'ISO 26262 Safety Case'!#REF!</definedName>
    <definedName name="var_sc_AA71" localSheetId="4">'[1]ISO 26262 Safety Case'!#REF!</definedName>
    <definedName name="var_sc_AA71">'ISO 26262 Safety Case'!#REF!</definedName>
    <definedName name="var_sc_AA72" localSheetId="4">'[1]ISO 26262 Safety Case'!#REF!</definedName>
    <definedName name="var_sc_AA72">'ISO 26262 Safety Case'!#REF!</definedName>
    <definedName name="var_sc_AA73" localSheetId="4">'[1]ISO 26262 Safety Case'!#REF!</definedName>
    <definedName name="var_sc_AA73">'ISO 26262 Safety Case'!#REF!</definedName>
    <definedName name="var_sc_AA74" localSheetId="4">'[1]ISO 26262 Safety Case'!#REF!</definedName>
    <definedName name="var_sc_AA74">'ISO 26262 Safety Case'!#REF!</definedName>
    <definedName name="var_sc_AA75" localSheetId="4">'[1]ISO 26262 Safety Case'!#REF!</definedName>
    <definedName name="var_sc_AA75">'ISO 26262 Safety Case'!#REF!</definedName>
    <definedName name="var_sc_AA76" localSheetId="4">'[1]ISO 26262 Safety Case'!#REF!</definedName>
    <definedName name="var_sc_AA76">'ISO 26262 Safety Case'!#REF!</definedName>
    <definedName name="var_sc_AA77" localSheetId="4">'[1]ISO 26262 Safety Case'!#REF!</definedName>
    <definedName name="var_sc_AA77">'ISO 26262 Safety Case'!#REF!</definedName>
    <definedName name="var_sc_AA78" localSheetId="4">'[1]ISO 26262 Safety Case'!#REF!</definedName>
    <definedName name="var_sc_AA78">'ISO 26262 Safety Case'!#REF!</definedName>
    <definedName name="var_sc_AA79" localSheetId="4">'[1]ISO 26262 Safety Case'!#REF!</definedName>
    <definedName name="var_sc_AA79">'ISO 26262 Safety Case'!#REF!</definedName>
    <definedName name="var_sc_AA80" localSheetId="4">'[1]ISO 26262 Safety Case'!#REF!</definedName>
    <definedName name="var_sc_AA80">'ISO 26262 Safety Case'!#REF!</definedName>
    <definedName name="var_sc_AA81" localSheetId="4">'[1]ISO 26262 Safety Case'!#REF!</definedName>
    <definedName name="var_sc_AA81">'ISO 26262 Safety Case'!#REF!</definedName>
    <definedName name="var_sc_AA82" localSheetId="4">'[1]ISO 26262 Safety Case'!#REF!</definedName>
    <definedName name="var_sc_AA82">'ISO 26262 Safety Case'!#REF!</definedName>
    <definedName name="var_sc_AA83" localSheetId="4">'[1]ISO 26262 Safety Case'!#REF!</definedName>
    <definedName name="var_sc_AA83">'ISO 26262 Safety Case'!#REF!</definedName>
    <definedName name="var_sc_AA84" localSheetId="4">'[1]ISO 26262 Safety Case'!#REF!</definedName>
    <definedName name="var_sc_AA84">'ISO 26262 Safety Case'!#REF!</definedName>
    <definedName name="var_sc_AA85" localSheetId="4">'[1]ISO 26262 Safety Case'!#REF!</definedName>
    <definedName name="var_sc_AA85">'ISO 26262 Safety Case'!#REF!</definedName>
    <definedName name="var_sc_AA86" localSheetId="4">'[1]ISO 26262 Safety Case'!#REF!</definedName>
    <definedName name="var_sc_AA86">'ISO 26262 Safety Case'!#REF!</definedName>
    <definedName name="var_sc_AB116" localSheetId="4">'[1]ISO 26262 Safety Case'!#REF!</definedName>
    <definedName name="var_sc_AB116">'ISO 26262 Safety Case'!#REF!</definedName>
    <definedName name="var_sc_AB117" localSheetId="4">'[1]ISO 26262 Safety Case'!#REF!</definedName>
    <definedName name="var_sc_AB117">'ISO 26262 Safety Case'!#REF!</definedName>
    <definedName name="var_sc_AB118" localSheetId="4">'[1]ISO 26262 Safety Case'!#REF!</definedName>
    <definedName name="var_sc_AB118">'ISO 26262 Safety Case'!#REF!</definedName>
    <definedName name="var_sc_AB119" localSheetId="4">'[1]ISO 26262 Safety Case'!#REF!</definedName>
    <definedName name="var_sc_AB119">'ISO 26262 Safety Case'!#REF!</definedName>
    <definedName name="var_sc_AB12" localSheetId="4">'[1]ISO 26262 Safety Case'!#REF!</definedName>
    <definedName name="var_sc_AB12">'ISO 26262 Safety Case'!#REF!</definedName>
    <definedName name="var_sc_AB120" localSheetId="4">'[1]ISO 26262 Safety Case'!#REF!</definedName>
    <definedName name="var_sc_AB120">'ISO 26262 Safety Case'!#REF!</definedName>
    <definedName name="var_sc_AB124" localSheetId="4">'[1]ISO 26262 Safety Case'!#REF!</definedName>
    <definedName name="var_sc_AB124">'ISO 26262 Safety Case'!#REF!</definedName>
    <definedName name="var_sc_AB128" localSheetId="4">'[1]ISO 26262 Safety Case'!#REF!</definedName>
    <definedName name="var_sc_AB128">'ISO 26262 Safety Case'!#REF!</definedName>
    <definedName name="var_sc_AB129" localSheetId="4">'[1]ISO 26262 Safety Case'!#REF!</definedName>
    <definedName name="var_sc_AB129">'ISO 26262 Safety Case'!#REF!</definedName>
    <definedName name="var_sc_AB13" localSheetId="4">'[1]ISO 26262 Safety Case'!#REF!</definedName>
    <definedName name="var_sc_AB13">'ISO 26262 Safety Case'!#REF!</definedName>
    <definedName name="var_sc_AB130" localSheetId="4">'[1]ISO 26262 Safety Case'!#REF!</definedName>
    <definedName name="var_sc_AB130">'ISO 26262 Safety Case'!#REF!</definedName>
    <definedName name="var_sc_AB131" localSheetId="4">'[1]ISO 26262 Safety Case'!#REF!</definedName>
    <definedName name="var_sc_AB131">'ISO 26262 Safety Case'!#REF!</definedName>
    <definedName name="var_sc_AB132" localSheetId="4">'[1]ISO 26262 Safety Case'!#REF!</definedName>
    <definedName name="var_sc_AB132">'ISO 26262 Safety Case'!#REF!</definedName>
    <definedName name="var_sc_AB133" localSheetId="4">'[1]ISO 26262 Safety Case'!#REF!</definedName>
    <definedName name="var_sc_AB133">'ISO 26262 Safety Case'!#REF!</definedName>
    <definedName name="var_sc_AB134" localSheetId="4">'[1]ISO 26262 Safety Case'!#REF!</definedName>
    <definedName name="var_sc_AB134">'ISO 26262 Safety Case'!#REF!</definedName>
    <definedName name="var_sc_AB138" localSheetId="4">'[1]ISO 26262 Safety Case'!#REF!</definedName>
    <definedName name="var_sc_AB138">'ISO 26262 Safety Case'!#REF!</definedName>
    <definedName name="var_sc_AB139" localSheetId="4">'[1]ISO 26262 Safety Case'!#REF!</definedName>
    <definedName name="var_sc_AB139">'ISO 26262 Safety Case'!#REF!</definedName>
    <definedName name="var_sc_AB140" localSheetId="4">'[1]ISO 26262 Safety Case'!#REF!</definedName>
    <definedName name="var_sc_AB140">'ISO 26262 Safety Case'!#REF!</definedName>
    <definedName name="var_sc_AB141" localSheetId="4">'[1]ISO 26262 Safety Case'!#REF!</definedName>
    <definedName name="var_sc_AB141">'ISO 26262 Safety Case'!#REF!</definedName>
    <definedName name="var_sc_AB142" localSheetId="4">'[1]ISO 26262 Safety Case'!#REF!</definedName>
    <definedName name="var_sc_AB142">'ISO 26262 Safety Case'!#REF!</definedName>
    <definedName name="var_sc_AB143" localSheetId="4">'[1]ISO 26262 Safety Case'!#REF!</definedName>
    <definedName name="var_sc_AB143">'ISO 26262 Safety Case'!#REF!</definedName>
    <definedName name="var_sc_AB144" localSheetId="4">'[1]ISO 26262 Safety Case'!#REF!</definedName>
    <definedName name="var_sc_AB144">'ISO 26262 Safety Case'!#REF!</definedName>
    <definedName name="var_sc_AB145" localSheetId="4">'[1]ISO 26262 Safety Case'!#REF!</definedName>
    <definedName name="var_sc_AB145">'ISO 26262 Safety Case'!#REF!</definedName>
    <definedName name="var_sc_AB147" localSheetId="4">'[1]ISO 26262 Safety Case'!#REF!</definedName>
    <definedName name="var_sc_AB147">'ISO 26262 Safety Case'!#REF!</definedName>
    <definedName name="var_sc_AB148" localSheetId="4">'[1]ISO 26262 Safety Case'!#REF!</definedName>
    <definedName name="var_sc_AB148">'ISO 26262 Safety Case'!#REF!</definedName>
    <definedName name="var_sc_AB149" localSheetId="4">'[1]ISO 26262 Safety Case'!#REF!</definedName>
    <definedName name="var_sc_AB149">'ISO 26262 Safety Case'!#REF!</definedName>
    <definedName name="var_sc_AB15" localSheetId="4">'[1]ISO 26262 Safety Case'!#REF!</definedName>
    <definedName name="var_sc_AB15">'ISO 26262 Safety Case'!#REF!</definedName>
    <definedName name="var_sc_AB152" localSheetId="4">'[1]ISO 26262 Safety Case'!#REF!</definedName>
    <definedName name="var_sc_AB152">'ISO 26262 Safety Case'!#REF!</definedName>
    <definedName name="var_sc_AB153" localSheetId="4">'[1]ISO 26262 Safety Case'!#REF!</definedName>
    <definedName name="var_sc_AB153">'ISO 26262 Safety Case'!#REF!</definedName>
    <definedName name="var_sc_AB154" localSheetId="4">'[1]ISO 26262 Safety Case'!#REF!</definedName>
    <definedName name="var_sc_AB154">'ISO 26262 Safety Case'!#REF!</definedName>
    <definedName name="var_sc_AB155" localSheetId="4">'[1]ISO 26262 Safety Case'!#REF!</definedName>
    <definedName name="var_sc_AB155">'ISO 26262 Safety Case'!#REF!</definedName>
    <definedName name="var_sc_AB16" localSheetId="4">'[1]ISO 26262 Safety Case'!#REF!</definedName>
    <definedName name="var_sc_AB16">'ISO 26262 Safety Case'!#REF!</definedName>
    <definedName name="var_sc_AB160" localSheetId="4">'[1]ISO 26262 Safety Case'!#REF!</definedName>
    <definedName name="var_sc_AB160">'ISO 26262 Safety Case'!#REF!</definedName>
    <definedName name="var_sc_AB161" localSheetId="4">'[1]ISO 26262 Safety Case'!#REF!</definedName>
    <definedName name="var_sc_AB161">'ISO 26262 Safety Case'!#REF!</definedName>
    <definedName name="var_sc_AB168" localSheetId="4">'[1]ISO 26262 Safety Case'!#REF!</definedName>
    <definedName name="var_sc_AB168">'ISO 26262 Safety Case'!#REF!</definedName>
    <definedName name="var_sc_AB169" localSheetId="4">'[1]ISO 26262 Safety Case'!#REF!</definedName>
    <definedName name="var_sc_AB169">'ISO 26262 Safety Case'!#REF!</definedName>
    <definedName name="var_sc_AB17" localSheetId="4">'[1]ISO 26262 Safety Case'!#REF!</definedName>
    <definedName name="var_sc_AB17">'ISO 26262 Safety Case'!#REF!</definedName>
    <definedName name="var_sc_AB170" localSheetId="4">'[1]ISO 26262 Safety Case'!#REF!</definedName>
    <definedName name="var_sc_AB170">'ISO 26262 Safety Case'!#REF!</definedName>
    <definedName name="var_sc_AB18" localSheetId="4">'[1]ISO 26262 Safety Case'!#REF!</definedName>
    <definedName name="var_sc_AB18">'ISO 26262 Safety Case'!#REF!</definedName>
    <definedName name="var_sc_AB19" localSheetId="4">'[1]ISO 26262 Safety Case'!#REF!</definedName>
    <definedName name="var_sc_AB19">'ISO 26262 Safety Case'!#REF!</definedName>
    <definedName name="var_sc_AB21" localSheetId="4">'[1]ISO 26262 Safety Case'!#REF!</definedName>
    <definedName name="var_sc_AB21">'ISO 26262 Safety Case'!#REF!</definedName>
    <definedName name="var_sc_AB22" localSheetId="4">'[1]ISO 26262 Safety Case'!#REF!</definedName>
    <definedName name="var_sc_AB22">'ISO 26262 Safety Case'!#REF!</definedName>
    <definedName name="var_sc_AB23" localSheetId="4">'[1]ISO 26262 Safety Case'!#REF!</definedName>
    <definedName name="var_sc_AB23">'ISO 26262 Safety Case'!#REF!</definedName>
    <definedName name="var_sc_AB24" localSheetId="4">'[1]ISO 26262 Safety Case'!#REF!</definedName>
    <definedName name="var_sc_AB24">'ISO 26262 Safety Case'!#REF!</definedName>
    <definedName name="var_sc_AB25" localSheetId="4">'[1]ISO 26262 Safety Case'!#REF!</definedName>
    <definedName name="var_sc_AB25">'ISO 26262 Safety Case'!#REF!</definedName>
    <definedName name="var_sc_AB26" localSheetId="4">'[1]ISO 26262 Safety Case'!#REF!</definedName>
    <definedName name="var_sc_AB26">'ISO 26262 Safety Case'!#REF!</definedName>
    <definedName name="var_sc_AB27" localSheetId="4">'[1]ISO 26262 Safety Case'!#REF!</definedName>
    <definedName name="var_sc_AB27">'ISO 26262 Safety Case'!#REF!</definedName>
    <definedName name="var_sc_AB28" localSheetId="4">'[1]ISO 26262 Safety Case'!#REF!</definedName>
    <definedName name="var_sc_AB28">'ISO 26262 Safety Case'!#REF!</definedName>
    <definedName name="var_sc_AB45" localSheetId="4">'[1]ISO 26262 Safety Case'!#REF!</definedName>
    <definedName name="var_sc_AB45">'ISO 26262 Safety Case'!#REF!</definedName>
    <definedName name="var_sc_AB46" localSheetId="4">'[1]ISO 26262 Safety Case'!#REF!</definedName>
    <definedName name="var_sc_AB46">'ISO 26262 Safety Case'!#REF!</definedName>
    <definedName name="var_sc_AB48" localSheetId="4">'[1]ISO 26262 Safety Case'!#REF!</definedName>
    <definedName name="var_sc_AB48">'ISO 26262 Safety Case'!#REF!</definedName>
    <definedName name="var_sc_AB52" localSheetId="4">'[1]ISO 26262 Safety Case'!#REF!</definedName>
    <definedName name="var_sc_AB52">'ISO 26262 Safety Case'!#REF!</definedName>
    <definedName name="var_sc_AB59" localSheetId="4">'[1]ISO 26262 Safety Case'!#REF!</definedName>
    <definedName name="var_sc_AB59">'ISO 26262 Safety Case'!#REF!</definedName>
    <definedName name="var_sc_AB60" localSheetId="4">'[1]ISO 26262 Safety Case'!#REF!</definedName>
    <definedName name="var_sc_AB60">'ISO 26262 Safety Case'!#REF!</definedName>
    <definedName name="var_sc_AB61" localSheetId="4">'[1]ISO 26262 Safety Case'!#REF!</definedName>
    <definedName name="var_sc_AB61">'ISO 26262 Safety Case'!#REF!</definedName>
    <definedName name="var_sc_AB62" localSheetId="4">'[1]ISO 26262 Safety Case'!#REF!</definedName>
    <definedName name="var_sc_AB62">'ISO 26262 Safety Case'!#REF!</definedName>
    <definedName name="var_sc_AB64" localSheetId="4">'[1]ISO 26262 Safety Case'!#REF!</definedName>
    <definedName name="var_sc_AB64">'ISO 26262 Safety Case'!#REF!</definedName>
    <definedName name="var_sc_AB65" localSheetId="4">'[1]ISO 26262 Safety Case'!#REF!</definedName>
    <definedName name="var_sc_AB65">'ISO 26262 Safety Case'!#REF!</definedName>
    <definedName name="var_sc_AB66" localSheetId="4">'[1]ISO 26262 Safety Case'!#REF!</definedName>
    <definedName name="var_sc_AB66">'ISO 26262 Safety Case'!#REF!</definedName>
    <definedName name="var_sc_AB67" localSheetId="4">'[1]ISO 26262 Safety Case'!#REF!</definedName>
    <definedName name="var_sc_AB67">'ISO 26262 Safety Case'!#REF!</definedName>
    <definedName name="var_sc_AB68" localSheetId="4">'[1]ISO 26262 Safety Case'!#REF!</definedName>
    <definedName name="var_sc_AB68">'ISO 26262 Safety Case'!#REF!</definedName>
    <definedName name="var_sc_AB69" localSheetId="4">'[1]ISO 26262 Safety Case'!#REF!</definedName>
    <definedName name="var_sc_AB69">'ISO 26262 Safety Case'!#REF!</definedName>
    <definedName name="var_sc_AB70" localSheetId="4">'[1]ISO 26262 Safety Case'!#REF!</definedName>
    <definedName name="var_sc_AB70">'ISO 26262 Safety Case'!#REF!</definedName>
    <definedName name="var_sc_AB71" localSheetId="4">'[1]ISO 26262 Safety Case'!#REF!</definedName>
    <definedName name="var_sc_AB71">'ISO 26262 Safety Case'!#REF!</definedName>
    <definedName name="var_sc_AB72" localSheetId="4">'[1]ISO 26262 Safety Case'!#REF!</definedName>
    <definedName name="var_sc_AB72">'ISO 26262 Safety Case'!#REF!</definedName>
    <definedName name="var_sc_AB73" localSheetId="4">'[1]ISO 26262 Safety Case'!#REF!</definedName>
    <definedName name="var_sc_AB73">'ISO 26262 Safety Case'!#REF!</definedName>
    <definedName name="var_sc_AB74" localSheetId="4">'[1]ISO 26262 Safety Case'!#REF!</definedName>
    <definedName name="var_sc_AB74">'ISO 26262 Safety Case'!#REF!</definedName>
    <definedName name="var_sc_AB75" localSheetId="4">'[1]ISO 26262 Safety Case'!#REF!</definedName>
    <definedName name="var_sc_AB75">'ISO 26262 Safety Case'!#REF!</definedName>
    <definedName name="var_sc_AB76" localSheetId="4">'[1]ISO 26262 Safety Case'!#REF!</definedName>
    <definedName name="var_sc_AB76">'ISO 26262 Safety Case'!#REF!</definedName>
    <definedName name="var_sc_AB77" localSheetId="4">'[1]ISO 26262 Safety Case'!#REF!</definedName>
    <definedName name="var_sc_AB77">'ISO 26262 Safety Case'!#REF!</definedName>
    <definedName name="var_sc_AB78" localSheetId="4">'[1]ISO 26262 Safety Case'!#REF!</definedName>
    <definedName name="var_sc_AB78">'ISO 26262 Safety Case'!#REF!</definedName>
    <definedName name="var_sc_AB79" localSheetId="4">'[1]ISO 26262 Safety Case'!#REF!</definedName>
    <definedName name="var_sc_AB79">'ISO 26262 Safety Case'!#REF!</definedName>
    <definedName name="var_sc_AB80" localSheetId="4">'[1]ISO 26262 Safety Case'!#REF!</definedName>
    <definedName name="var_sc_AB80">'ISO 26262 Safety Case'!#REF!</definedName>
    <definedName name="var_sc_AB81" localSheetId="4">'[1]ISO 26262 Safety Case'!#REF!</definedName>
    <definedName name="var_sc_AB81">'ISO 26262 Safety Case'!#REF!</definedName>
    <definedName name="var_sc_AB82" localSheetId="4">'[1]ISO 26262 Safety Case'!#REF!</definedName>
    <definedName name="var_sc_AB82">'ISO 26262 Safety Case'!#REF!</definedName>
    <definedName name="var_sc_AB83" localSheetId="4">'[1]ISO 26262 Safety Case'!#REF!</definedName>
    <definedName name="var_sc_AB83">'ISO 26262 Safety Case'!#REF!</definedName>
    <definedName name="var_sc_AB84" localSheetId="4">'[1]ISO 26262 Safety Case'!#REF!</definedName>
    <definedName name="var_sc_AB84">'ISO 26262 Safety Case'!#REF!</definedName>
    <definedName name="var_sc_AB85" localSheetId="4">'[1]ISO 26262 Safety Case'!#REF!</definedName>
    <definedName name="var_sc_AB85">'ISO 26262 Safety Case'!#REF!</definedName>
    <definedName name="var_sc_AB86" localSheetId="4">'[1]ISO 26262 Safety Case'!#REF!</definedName>
    <definedName name="var_sc_AB86">'ISO 26262 Safety Case'!#REF!</definedName>
    <definedName name="var_sc_T116">'ISO 26262 Safety Case'!$N$106</definedName>
    <definedName name="var_sc_T117">'ISO 26262 Safety Case'!$N$107</definedName>
    <definedName name="var_sc_T118">'ISO 26262 Safety Case'!$N$109</definedName>
    <definedName name="var_sc_T119">'ISO 26262 Safety Case'!$N$110</definedName>
    <definedName name="var_sc_T12">'ISO 26262 Safety Case'!$N$9</definedName>
    <definedName name="var_sc_T120">'ISO 26262 Safety Case'!$N$111</definedName>
    <definedName name="var_sc_T124">'ISO 26262 Safety Case'!$N$116</definedName>
    <definedName name="var_sc_T128">'ISO 26262 Safety Case'!$N$120</definedName>
    <definedName name="var_sc_T129">'ISO 26262 Safety Case'!$N$121</definedName>
    <definedName name="var_sc_T13">'ISO 26262 Safety Case'!$N$10</definedName>
    <definedName name="var_sc_T130" localSheetId="4">'[1]ISO 26262 Safety Case'!#REF!</definedName>
    <definedName name="var_sc_T130">'ISO 26262 Safety Case'!#REF!</definedName>
    <definedName name="var_sc_T131" localSheetId="4">'[1]ISO 26262 Safety Case'!#REF!</definedName>
    <definedName name="var_sc_T131">'ISO 26262 Safety Case'!#REF!</definedName>
    <definedName name="var_sc_T132">'ISO 26262 Safety Case'!$N$122</definedName>
    <definedName name="var_sc_T133">'ISO 26262 Safety Case'!$N$123</definedName>
    <definedName name="var_sc_T134">'ISO 26262 Safety Case'!$N$124</definedName>
    <definedName name="var_sc_T138">'ISO 26262 Safety Case'!$N$127</definedName>
    <definedName name="var_sc_T139" localSheetId="4">'[1]ISO 26262 Safety Case'!#REF!</definedName>
    <definedName name="var_sc_T139">'ISO 26262 Safety Case'!#REF!</definedName>
    <definedName name="var_sc_T140" localSheetId="4">'[1]ISO 26262 Safety Case'!#REF!</definedName>
    <definedName name="var_sc_T140">'ISO 26262 Safety Case'!#REF!</definedName>
    <definedName name="var_sc_T141">'ISO 26262 Safety Case'!$N$128</definedName>
    <definedName name="var_sc_T142" localSheetId="4">'[1]ISO 26262 Safety Case'!#REF!</definedName>
    <definedName name="var_sc_T142">'ISO 26262 Safety Case'!#REF!</definedName>
    <definedName name="var_sc_T143" localSheetId="4">'[1]ISO 26262 Safety Case'!#REF!</definedName>
    <definedName name="var_sc_T143">'ISO 26262 Safety Case'!#REF!</definedName>
    <definedName name="var_sc_T144">'ISO 26262 Safety Case'!$N$129</definedName>
    <definedName name="var_sc_T145" localSheetId="4">'[1]ISO 26262 Safety Case'!#REF!</definedName>
    <definedName name="var_sc_T145">'ISO 26262 Safety Case'!#REF!</definedName>
    <definedName name="var_sc_T147">'ISO 26262 Safety Case'!$N$130</definedName>
    <definedName name="var_sc_T148">'ISO 26262 Safety Case'!$N$131</definedName>
    <definedName name="var_sc_T149">'ISO 26262 Safety Case'!$N$134</definedName>
    <definedName name="var_sc_T15">'ISO 26262 Safety Case'!$N$15</definedName>
    <definedName name="var_sc_T152">'ISO 26262 Safety Case'!$N$137</definedName>
    <definedName name="var_sc_T153" localSheetId="4">'[1]ISO 26262 Safety Case'!#REF!</definedName>
    <definedName name="var_sc_T153">'ISO 26262 Safety Case'!#REF!</definedName>
    <definedName name="var_sc_T154" localSheetId="4">'[1]ISO 26262 Safety Case'!#REF!</definedName>
    <definedName name="var_sc_T154">'ISO 26262 Safety Case'!#REF!</definedName>
    <definedName name="var_sc_T155">'ISO 26262 Safety Case'!$N$138</definedName>
    <definedName name="var_sc_T16" localSheetId="4">'[1]ISO 26262 Safety Case'!#REF!</definedName>
    <definedName name="var_sc_T16">'ISO 26262 Safety Case'!#REF!</definedName>
    <definedName name="var_sc_T160">'ISO 26262 Safety Case'!$N$143</definedName>
    <definedName name="var_sc_T161">'ISO 26262 Safety Case'!$N$144</definedName>
    <definedName name="var_sc_T168">'ISO 26262 Safety Case'!$N$150</definedName>
    <definedName name="var_sc_T169">'ISO 26262 Safety Case'!$N$151</definedName>
    <definedName name="var_sc_T17" localSheetId="4">'[1]ISO 26262 Safety Case'!#REF!</definedName>
    <definedName name="var_sc_T17">'ISO 26262 Safety Case'!#REF!</definedName>
    <definedName name="var_sc_T170">'ISO 26262 Safety Case'!$N$152</definedName>
    <definedName name="var_sc_T18">'ISO 26262 Safety Case'!$N$16</definedName>
    <definedName name="var_sc_T19" localSheetId="4">'[1]ISO 26262 Safety Case'!#REF!</definedName>
    <definedName name="var_sc_T19">'ISO 26262 Safety Case'!#REF!</definedName>
    <definedName name="var_sc_T21" localSheetId="4">'[1]ISO 26262 Safety Case'!#REF!</definedName>
    <definedName name="var_sc_T21">'ISO 26262 Safety Case'!#REF!</definedName>
    <definedName name="var_sc_T22" localSheetId="4">'[1]ISO 26262 Safety Case'!#REF!</definedName>
    <definedName name="var_sc_T22">'ISO 26262 Safety Case'!#REF!</definedName>
    <definedName name="var_sc_T23">'ISO 26262 Safety Case'!$N$17</definedName>
    <definedName name="var_sc_T24" localSheetId="4">'[1]ISO 26262 Safety Case'!#REF!</definedName>
    <definedName name="var_sc_T24">'ISO 26262 Safety Case'!#REF!</definedName>
    <definedName name="var_sc_T25">'ISO 26262 Safety Case'!$N$24</definedName>
    <definedName name="var_sc_T26">'ISO 26262 Safety Case'!$N$25</definedName>
    <definedName name="var_sc_T27">'ISO 26262 Safety Case'!$N$27</definedName>
    <definedName name="var_sc_T28">'ISO 26262 Safety Case'!$N$28</definedName>
    <definedName name="var_sc_T45">'ISO 26262 Safety Case'!$N$38</definedName>
    <definedName name="var_sc_T46">'ISO 26262 Safety Case'!$N$39</definedName>
    <definedName name="var_sc_T48" localSheetId="4">'[1]ISO 26262 Safety Case'!#REF!</definedName>
    <definedName name="var_sc_T48">'ISO 26262 Safety Case'!#REF!</definedName>
    <definedName name="var_sc_T52">'ISO 26262 Safety Case'!$N$43</definedName>
    <definedName name="var_sc_T59" localSheetId="4">'[1]ISO 26262 Safety Case'!#REF!</definedName>
    <definedName name="var_sc_T59">'ISO 26262 Safety Case'!#REF!</definedName>
    <definedName name="var_sc_T60" localSheetId="4">'[1]ISO 26262 Safety Case'!#REF!</definedName>
    <definedName name="var_sc_T60">'ISO 26262 Safety Case'!#REF!</definedName>
    <definedName name="var_sc_T61" localSheetId="4">'[1]ISO 26262 Safety Case'!#REF!</definedName>
    <definedName name="var_sc_T61">'ISO 26262 Safety Case'!#REF!</definedName>
    <definedName name="var_sc_T62" localSheetId="4">'[1]ISO 26262 Safety Case'!#REF!</definedName>
    <definedName name="var_sc_T62">'ISO 26262 Safety Case'!#REF!</definedName>
    <definedName name="var_sc_T64" localSheetId="4">'[1]ISO 26262 Safety Case'!#REF!</definedName>
    <definedName name="var_sc_T64">'ISO 26262 Safety Case'!#REF!</definedName>
    <definedName name="var_sc_T65">'ISO 26262 Safety Case'!$N$50</definedName>
    <definedName name="var_sc_T66">'ISO 26262 Safety Case'!$N$51</definedName>
    <definedName name="var_sc_T67">'ISO 26262 Safety Case'!$N$52</definedName>
    <definedName name="var_sc_T68">'ISO 26262 Safety Case'!$N$53</definedName>
    <definedName name="var_sc_T69" localSheetId="4">'[1]ISO 26262 Safety Case'!#REF!</definedName>
    <definedName name="var_sc_T69">'ISO 26262 Safety Case'!#REF!</definedName>
    <definedName name="var_sc_T70">'ISO 26262 Safety Case'!$N$54</definedName>
    <definedName name="var_sc_T71">'ISO 26262 Safety Case'!$N$56</definedName>
    <definedName name="var_sc_T72">'ISO 26262 Safety Case'!$N$57</definedName>
    <definedName name="var_sc_T73">'ISO 26262 Safety Case'!$N$58</definedName>
    <definedName name="var_sc_T74">'ISO 26262 Safety Case'!$N$59</definedName>
    <definedName name="var_sc_T75">'ISO 26262 Safety Case'!$N$60</definedName>
    <definedName name="var_sc_T76" localSheetId="4">'[1]ISO 26262 Safety Case'!#REF!</definedName>
    <definedName name="var_sc_T76">'ISO 26262 Safety Case'!#REF!</definedName>
    <definedName name="var_sc_T77">'ISO 26262 Safety Case'!$N$61</definedName>
    <definedName name="var_sc_T78">'ISO 26262 Safety Case'!$N$62</definedName>
    <definedName name="var_sc_T79">'ISO 26262 Safety Case'!$N$63</definedName>
    <definedName name="var_sc_T80">'ISO 26262 Safety Case'!$N$64</definedName>
    <definedName name="var_sc_T81">'ISO 26262 Safety Case'!$N$65</definedName>
    <definedName name="var_sc_T82">'ISO 26262 Safety Case'!$N$66</definedName>
    <definedName name="var_sc_T83">'ISO 26262 Safety Case'!$N$67</definedName>
    <definedName name="var_sc_T84">'ISO 26262 Safety Case'!$N$68</definedName>
    <definedName name="var_sc_T85">'ISO 26262 Safety Case'!$N$69</definedName>
    <definedName name="var_sc_T86">'ISO 26262 Safety Case'!$N$70</definedName>
    <definedName name="var_sc_U116" localSheetId="4">'[1]ISO 26262 Safety Case'!#REF!</definedName>
    <definedName name="var_sc_U116">'ISO 26262 Safety Case'!#REF!</definedName>
    <definedName name="var_sc_U117" localSheetId="4">'[1]ISO 26262 Safety Case'!#REF!</definedName>
    <definedName name="var_sc_U117">'ISO 26262 Safety Case'!#REF!</definedName>
    <definedName name="var_sc_U118" localSheetId="4">'[1]ISO 26262 Safety Case'!#REF!</definedName>
    <definedName name="var_sc_U118">'ISO 26262 Safety Case'!#REF!</definedName>
    <definedName name="var_sc_U119" localSheetId="4">'[1]ISO 26262 Safety Case'!#REF!</definedName>
    <definedName name="var_sc_U119">'ISO 26262 Safety Case'!#REF!</definedName>
    <definedName name="var_sc_U12" localSheetId="4">'[1]ISO 26262 Safety Case'!#REF!</definedName>
    <definedName name="var_sc_U12">'ISO 26262 Safety Case'!#REF!</definedName>
    <definedName name="var_sc_U120" localSheetId="4">'[1]ISO 26262 Safety Case'!#REF!</definedName>
    <definedName name="var_sc_U120">'ISO 26262 Safety Case'!#REF!</definedName>
    <definedName name="var_sc_U124" localSheetId="4">'[1]ISO 26262 Safety Case'!#REF!</definedName>
    <definedName name="var_sc_U124">'ISO 26262 Safety Case'!#REF!</definedName>
    <definedName name="var_sc_U128" localSheetId="4">'[1]ISO 26262 Safety Case'!#REF!</definedName>
    <definedName name="var_sc_U128">'ISO 26262 Safety Case'!#REF!</definedName>
    <definedName name="var_sc_U129" localSheetId="4">'[1]ISO 26262 Safety Case'!#REF!</definedName>
    <definedName name="var_sc_U129">'ISO 26262 Safety Case'!#REF!</definedName>
    <definedName name="var_sc_U13" localSheetId="4">'[1]ISO 26262 Safety Case'!#REF!</definedName>
    <definedName name="var_sc_U13">'ISO 26262 Safety Case'!#REF!</definedName>
    <definedName name="var_sc_U130" localSheetId="4">'[1]ISO 26262 Safety Case'!#REF!</definedName>
    <definedName name="var_sc_U130">'ISO 26262 Safety Case'!#REF!</definedName>
    <definedName name="var_sc_U131" localSheetId="4">'[1]ISO 26262 Safety Case'!#REF!</definedName>
    <definedName name="var_sc_U131">'ISO 26262 Safety Case'!#REF!</definedName>
    <definedName name="var_sc_U132" localSheetId="4">'[1]ISO 26262 Safety Case'!#REF!</definedName>
    <definedName name="var_sc_U132">'ISO 26262 Safety Case'!#REF!</definedName>
    <definedName name="var_sc_U133" localSheetId="4">'[1]ISO 26262 Safety Case'!#REF!</definedName>
    <definedName name="var_sc_U133">'ISO 26262 Safety Case'!#REF!</definedName>
    <definedName name="var_sc_U134" localSheetId="4">'[1]ISO 26262 Safety Case'!#REF!</definedName>
    <definedName name="var_sc_U134">'ISO 26262 Safety Case'!#REF!</definedName>
    <definedName name="var_sc_U138" localSheetId="4">'[1]ISO 26262 Safety Case'!#REF!</definedName>
    <definedName name="var_sc_U138">'ISO 26262 Safety Case'!#REF!</definedName>
    <definedName name="var_sc_U139" localSheetId="4">'[1]ISO 26262 Safety Case'!#REF!</definedName>
    <definedName name="var_sc_U139">'ISO 26262 Safety Case'!#REF!</definedName>
    <definedName name="var_sc_U140" localSheetId="4">'[1]ISO 26262 Safety Case'!#REF!</definedName>
    <definedName name="var_sc_U140">'ISO 26262 Safety Case'!#REF!</definedName>
    <definedName name="var_sc_U141" localSheetId="4">'[1]ISO 26262 Safety Case'!#REF!</definedName>
    <definedName name="var_sc_U141">'ISO 26262 Safety Case'!#REF!</definedName>
    <definedName name="var_sc_U142" localSheetId="4">'[1]ISO 26262 Safety Case'!#REF!</definedName>
    <definedName name="var_sc_U142">'ISO 26262 Safety Case'!#REF!</definedName>
    <definedName name="var_sc_U143" localSheetId="4">'[1]ISO 26262 Safety Case'!#REF!</definedName>
    <definedName name="var_sc_U143">'ISO 26262 Safety Case'!#REF!</definedName>
    <definedName name="var_sc_U144" localSheetId="4">'[1]ISO 26262 Safety Case'!#REF!</definedName>
    <definedName name="var_sc_U144">'ISO 26262 Safety Case'!#REF!</definedName>
    <definedName name="var_sc_U145" localSheetId="4">'[1]ISO 26262 Safety Case'!#REF!</definedName>
    <definedName name="var_sc_U145">'ISO 26262 Safety Case'!#REF!</definedName>
    <definedName name="var_sc_U147" localSheetId="4">'[1]ISO 26262 Safety Case'!#REF!</definedName>
    <definedName name="var_sc_U147">'ISO 26262 Safety Case'!#REF!</definedName>
    <definedName name="var_sc_U148" localSheetId="4">'[1]ISO 26262 Safety Case'!#REF!</definedName>
    <definedName name="var_sc_U148">'ISO 26262 Safety Case'!#REF!</definedName>
    <definedName name="var_sc_U149" localSheetId="4">'[1]ISO 26262 Safety Case'!#REF!</definedName>
    <definedName name="var_sc_U149">'ISO 26262 Safety Case'!#REF!</definedName>
    <definedName name="var_sc_U15" localSheetId="4">'[1]ISO 26262 Safety Case'!#REF!</definedName>
    <definedName name="var_sc_U15">'ISO 26262 Safety Case'!#REF!</definedName>
    <definedName name="var_sc_U152" localSheetId="4">'[1]ISO 26262 Safety Case'!#REF!</definedName>
    <definedName name="var_sc_U152">'ISO 26262 Safety Case'!#REF!</definedName>
    <definedName name="var_sc_U153" localSheetId="4">'[1]ISO 26262 Safety Case'!#REF!</definedName>
    <definedName name="var_sc_U153">'ISO 26262 Safety Case'!#REF!</definedName>
    <definedName name="var_sc_U154" localSheetId="4">'[1]ISO 26262 Safety Case'!#REF!</definedName>
    <definedName name="var_sc_U154">'ISO 26262 Safety Case'!#REF!</definedName>
    <definedName name="var_sc_U155" localSheetId="4">'[1]ISO 26262 Safety Case'!#REF!</definedName>
    <definedName name="var_sc_U155">'ISO 26262 Safety Case'!#REF!</definedName>
    <definedName name="var_sc_U16" localSheetId="4">'[1]ISO 26262 Safety Case'!#REF!</definedName>
    <definedName name="var_sc_U16">'ISO 26262 Safety Case'!#REF!</definedName>
    <definedName name="var_sc_U160" localSheetId="4">'[1]ISO 26262 Safety Case'!#REF!</definedName>
    <definedName name="var_sc_U160">'ISO 26262 Safety Case'!#REF!</definedName>
    <definedName name="var_sc_U161" localSheetId="4">'[1]ISO 26262 Safety Case'!#REF!</definedName>
    <definedName name="var_sc_U161">'ISO 26262 Safety Case'!#REF!</definedName>
    <definedName name="var_sc_U168" localSheetId="4">'[1]ISO 26262 Safety Case'!#REF!</definedName>
    <definedName name="var_sc_U168">'ISO 26262 Safety Case'!#REF!</definedName>
    <definedName name="var_sc_U169" localSheetId="4">'[1]ISO 26262 Safety Case'!#REF!</definedName>
    <definedName name="var_sc_U169">'ISO 26262 Safety Case'!#REF!</definedName>
    <definedName name="var_sc_U17" localSheetId="4">'[1]ISO 26262 Safety Case'!#REF!</definedName>
    <definedName name="var_sc_U17">'ISO 26262 Safety Case'!#REF!</definedName>
    <definedName name="var_sc_U170" localSheetId="4">'[1]ISO 26262 Safety Case'!#REF!</definedName>
    <definedName name="var_sc_U170">'ISO 26262 Safety Case'!#REF!</definedName>
    <definedName name="var_sc_U18" localSheetId="4">'[1]ISO 26262 Safety Case'!#REF!</definedName>
    <definedName name="var_sc_U18">'ISO 26262 Safety Case'!#REF!</definedName>
    <definedName name="var_sc_U19" localSheetId="4">'[1]ISO 26262 Safety Case'!#REF!</definedName>
    <definedName name="var_sc_U19">'ISO 26262 Safety Case'!#REF!</definedName>
    <definedName name="var_sc_U21" localSheetId="4">'[1]ISO 26262 Safety Case'!#REF!</definedName>
    <definedName name="var_sc_U21">'ISO 26262 Safety Case'!#REF!</definedName>
    <definedName name="var_sc_U22" localSheetId="4">'[1]ISO 26262 Safety Case'!#REF!</definedName>
    <definedName name="var_sc_U22">'ISO 26262 Safety Case'!#REF!</definedName>
    <definedName name="var_sc_U23" localSheetId="4">'[1]ISO 26262 Safety Case'!#REF!</definedName>
    <definedName name="var_sc_U23">'ISO 26262 Safety Case'!#REF!</definedName>
    <definedName name="var_sc_U24" localSheetId="4">'[1]ISO 26262 Safety Case'!#REF!</definedName>
    <definedName name="var_sc_U24">'ISO 26262 Safety Case'!#REF!</definedName>
    <definedName name="var_sc_U25" localSheetId="4">'[1]ISO 26262 Safety Case'!#REF!</definedName>
    <definedName name="var_sc_U25">'ISO 26262 Safety Case'!#REF!</definedName>
    <definedName name="var_sc_U26" localSheetId="4">'[1]ISO 26262 Safety Case'!#REF!</definedName>
    <definedName name="var_sc_U26">'ISO 26262 Safety Case'!#REF!</definedName>
    <definedName name="var_sc_U27" localSheetId="4">'[1]ISO 26262 Safety Case'!#REF!</definedName>
    <definedName name="var_sc_U27">'ISO 26262 Safety Case'!#REF!</definedName>
    <definedName name="var_sc_U28" localSheetId="4">'[1]ISO 26262 Safety Case'!#REF!</definedName>
    <definedName name="var_sc_U28">'ISO 26262 Safety Case'!#REF!</definedName>
    <definedName name="var_sc_U45" localSheetId="4">'[1]ISO 26262 Safety Case'!#REF!</definedName>
    <definedName name="var_sc_U45">'ISO 26262 Safety Case'!#REF!</definedName>
    <definedName name="var_sc_U46" localSheetId="4">'[1]ISO 26262 Safety Case'!#REF!</definedName>
    <definedName name="var_sc_U46">'ISO 26262 Safety Case'!#REF!</definedName>
    <definedName name="var_sc_U48" localSheetId="4">'[1]ISO 26262 Safety Case'!#REF!</definedName>
    <definedName name="var_sc_U48">'ISO 26262 Safety Case'!#REF!</definedName>
    <definedName name="var_sc_U52" localSheetId="4">'[1]ISO 26262 Safety Case'!#REF!</definedName>
    <definedName name="var_sc_U52">'ISO 26262 Safety Case'!#REF!</definedName>
    <definedName name="var_sc_U59" localSheetId="4">'[1]ISO 26262 Safety Case'!#REF!</definedName>
    <definedName name="var_sc_U59">'ISO 26262 Safety Case'!#REF!</definedName>
    <definedName name="var_sc_U60" localSheetId="4">'[1]ISO 26262 Safety Case'!#REF!</definedName>
    <definedName name="var_sc_U60">'ISO 26262 Safety Case'!#REF!</definedName>
    <definedName name="var_sc_U61" localSheetId="4">'[1]ISO 26262 Safety Case'!#REF!</definedName>
    <definedName name="var_sc_U61">'ISO 26262 Safety Case'!#REF!</definedName>
    <definedName name="var_sc_U62" localSheetId="4">'[1]ISO 26262 Safety Case'!#REF!</definedName>
    <definedName name="var_sc_U62">'ISO 26262 Safety Case'!#REF!</definedName>
    <definedName name="var_sc_U64" localSheetId="4">'[1]ISO 26262 Safety Case'!#REF!</definedName>
    <definedName name="var_sc_U64">'ISO 26262 Safety Case'!#REF!</definedName>
    <definedName name="var_sc_U65" localSheetId="4">'[1]ISO 26262 Safety Case'!#REF!</definedName>
    <definedName name="var_sc_U65">'ISO 26262 Safety Case'!#REF!</definedName>
    <definedName name="var_sc_U66" localSheetId="4">'[1]ISO 26262 Safety Case'!#REF!</definedName>
    <definedName name="var_sc_U66">'ISO 26262 Safety Case'!#REF!</definedName>
    <definedName name="var_sc_U67" localSheetId="4">'[1]ISO 26262 Safety Case'!#REF!</definedName>
    <definedName name="var_sc_U67">'ISO 26262 Safety Case'!#REF!</definedName>
    <definedName name="var_sc_U68" localSheetId="4">'[1]ISO 26262 Safety Case'!#REF!</definedName>
    <definedName name="var_sc_U68">'ISO 26262 Safety Case'!#REF!</definedName>
    <definedName name="var_sc_U69" localSheetId="4">'[1]ISO 26262 Safety Case'!#REF!</definedName>
    <definedName name="var_sc_U69">'ISO 26262 Safety Case'!#REF!</definedName>
    <definedName name="var_sc_U70" localSheetId="4">'[1]ISO 26262 Safety Case'!#REF!</definedName>
    <definedName name="var_sc_U70">'ISO 26262 Safety Case'!#REF!</definedName>
    <definedName name="var_sc_U71" localSheetId="4">'[1]ISO 26262 Safety Case'!#REF!</definedName>
    <definedName name="var_sc_U71">'ISO 26262 Safety Case'!#REF!</definedName>
    <definedName name="var_sc_U72" localSheetId="4">'[1]ISO 26262 Safety Case'!#REF!</definedName>
    <definedName name="var_sc_U72">'ISO 26262 Safety Case'!#REF!</definedName>
    <definedName name="var_sc_U73" localSheetId="4">'[1]ISO 26262 Safety Case'!#REF!</definedName>
    <definedName name="var_sc_U73">'ISO 26262 Safety Case'!#REF!</definedName>
    <definedName name="var_sc_U74" localSheetId="4">'[1]ISO 26262 Safety Case'!#REF!</definedName>
    <definedName name="var_sc_U74">'ISO 26262 Safety Case'!#REF!</definedName>
    <definedName name="var_sc_U75" localSheetId="4">'[1]ISO 26262 Safety Case'!#REF!</definedName>
    <definedName name="var_sc_U75">'ISO 26262 Safety Case'!#REF!</definedName>
    <definedName name="var_sc_U76" localSheetId="4">'[1]ISO 26262 Safety Case'!#REF!</definedName>
    <definedName name="var_sc_U76">'ISO 26262 Safety Case'!#REF!</definedName>
    <definedName name="var_sc_U77" localSheetId="4">'[1]ISO 26262 Safety Case'!#REF!</definedName>
    <definedName name="var_sc_U77">'ISO 26262 Safety Case'!#REF!</definedName>
    <definedName name="var_sc_U78" localSheetId="4">'[1]ISO 26262 Safety Case'!#REF!</definedName>
    <definedName name="var_sc_U78">'ISO 26262 Safety Case'!#REF!</definedName>
    <definedName name="var_sc_U79" localSheetId="4">'[1]ISO 26262 Safety Case'!#REF!</definedName>
    <definedName name="var_sc_U79">'ISO 26262 Safety Case'!#REF!</definedName>
    <definedName name="var_sc_U80" localSheetId="4">'[1]ISO 26262 Safety Case'!#REF!</definedName>
    <definedName name="var_sc_U80">'ISO 26262 Safety Case'!#REF!</definedName>
    <definedName name="var_sc_U81" localSheetId="4">'[1]ISO 26262 Safety Case'!#REF!</definedName>
    <definedName name="var_sc_U81">'ISO 26262 Safety Case'!#REF!</definedName>
    <definedName name="var_sc_U82" localSheetId="4">'[1]ISO 26262 Safety Case'!#REF!</definedName>
    <definedName name="var_sc_U82">'ISO 26262 Safety Case'!#REF!</definedName>
    <definedName name="var_sc_U83" localSheetId="4">'[1]ISO 26262 Safety Case'!#REF!</definedName>
    <definedName name="var_sc_U83">'ISO 26262 Safety Case'!#REF!</definedName>
    <definedName name="var_sc_U84" localSheetId="4">'[1]ISO 26262 Safety Case'!#REF!</definedName>
    <definedName name="var_sc_U84">'ISO 26262 Safety Case'!#REF!</definedName>
    <definedName name="var_sc_U85" localSheetId="4">'[1]ISO 26262 Safety Case'!#REF!</definedName>
    <definedName name="var_sc_U85">'ISO 26262 Safety Case'!#REF!</definedName>
    <definedName name="var_sc_U86" localSheetId="4">'[1]ISO 26262 Safety Case'!#REF!</definedName>
    <definedName name="var_sc_U86">'ISO 26262 Safety Case'!#REF!</definedName>
    <definedName name="var_Table8_Checklist_AA" localSheetId="6">#REF!</definedName>
    <definedName name="var_Table8_Checklist_AA" localSheetId="2">'ISO 26262 Safety Case'!#REF!</definedName>
    <definedName name="var_Table8_Checklist_AA" localSheetId="4">#REF!</definedName>
    <definedName name="var_Table8_Checklist_AA">#REF!</definedName>
    <definedName name="var_Table8_Checklist_AB" localSheetId="6">#REF!</definedName>
    <definedName name="var_Table8_Checklist_AB" localSheetId="2">'ISO 26262 Safety Case'!#REF!</definedName>
    <definedName name="var_Table8_Checklist_AB" localSheetId="4">#REF!</definedName>
    <definedName name="var_Table8_Checklist_AB">#REF!</definedName>
    <definedName name="var_Table8_Checklist_T" localSheetId="2">'ISO 26262 Safety Case'!#REF!</definedName>
    <definedName name="var_Table8_Checklist_T" localSheetId="4">#REF!</definedName>
    <definedName name="var_Table8_Checklist_T">#REF!</definedName>
    <definedName name="var_Table8_Checklist_U" localSheetId="6">#REF!</definedName>
    <definedName name="var_Table8_Checklist_U" localSheetId="2">'ISO 26262 Safety Case'!#REF!</definedName>
    <definedName name="var_Table8_Checklist_U" localSheetId="4">#REF!</definedName>
    <definedName name="var_Table8_Checklist_U">#REF!</definedName>
    <definedName name="var_ValidationPlanAndResult_AA" localSheetId="6">#REF!</definedName>
    <definedName name="var_ValidationPlanAndResult_AA" localSheetId="2">'ISO 26262 Safety Case'!#REF!</definedName>
    <definedName name="var_ValidationPlanAndResult_AA" localSheetId="4">#REF!</definedName>
    <definedName name="var_ValidationPlanAndResult_AA">#REF!</definedName>
    <definedName name="var_ValidationPlanAndResult_AB" localSheetId="6">#REF!</definedName>
    <definedName name="var_ValidationPlanAndResult_AB" localSheetId="2">'ISO 26262 Safety Case'!#REF!</definedName>
    <definedName name="var_ValidationPlanAndResult_AB" localSheetId="4">#REF!</definedName>
    <definedName name="var_ValidationPlanAndResult_AB">#REF!</definedName>
    <definedName name="var_ValidationPlanAndResult_T" localSheetId="6">#REF!</definedName>
    <definedName name="var_ValidationPlanAndResult_T" localSheetId="2">'ISO 26262 Safety Case'!#REF!</definedName>
    <definedName name="var_ValidationPlanAndResult_T" localSheetId="4">#REF!</definedName>
    <definedName name="var_ValidationPlanAndResult_T">#REF!</definedName>
    <definedName name="var_ValidationPlanAndResult_U" localSheetId="6">#REF!</definedName>
    <definedName name="var_ValidationPlanAndResult_U" localSheetId="2">'ISO 26262 Safety Case'!#REF!</definedName>
    <definedName name="var_ValidationPlanAndResult_U" localSheetId="4">#REF!</definedName>
    <definedName name="var_ValidationPlanAndResult_U">#REF!</definedName>
    <definedName name="var_VerifPlanAndResult_AA" localSheetId="6">#REF!</definedName>
    <definedName name="var_VerifPlanAndResult_AA" localSheetId="2">'ISO 26262 Safety Case'!#REF!</definedName>
    <definedName name="var_VerifPlanAndResult_AA" localSheetId="4">#REF!</definedName>
    <definedName name="var_VerifPlanAndResult_AA">#REF!</definedName>
    <definedName name="var_VerifPlanAndResult_AB" localSheetId="6">#REF!</definedName>
    <definedName name="var_VerifPlanAndResult_AB" localSheetId="2">'ISO 26262 Safety Case'!#REF!</definedName>
    <definedName name="var_VerifPlanAndResult_AB" localSheetId="4">#REF!</definedName>
    <definedName name="var_VerifPlanAndResult_AB">#REF!</definedName>
    <definedName name="var_VerifPlanAndResult_T" localSheetId="6">#REF!</definedName>
    <definedName name="var_VerifPlanAndResult_T" localSheetId="2">'ISO 26262 Safety Case'!#REF!</definedName>
    <definedName name="var_VerifPlanAndResult_T" localSheetId="4">#REF!</definedName>
    <definedName name="var_VerifPlanAndResult_T">#REF!</definedName>
    <definedName name="var_VerifPlanAndResult_U" localSheetId="6">#REF!</definedName>
    <definedName name="var_VerifPlanAndResult_U" localSheetId="2">'ISO 26262 Safety Case'!#REF!</definedName>
    <definedName name="var_VerifPlanAndResult_U" localSheetId="4">#REF!</definedName>
    <definedName name="var_VerifPlanAndResult_U">#REF!</definedName>
    <definedName name="varDataSheet_E" localSheetId="6">#REF!</definedName>
    <definedName name="varDataSheet_E" localSheetId="2">#REF!</definedName>
    <definedName name="varDataSheet_E" localSheetId="4">#REF!</definedName>
    <definedName name="varDataSheet_E">#REF!</definedName>
    <definedName name="varDataSheet_F" localSheetId="6">#REF!</definedName>
    <definedName name="varDataSheet_F" localSheetId="2">#REF!</definedName>
    <definedName name="varDataSheet_F" localSheetId="4">#REF!</definedName>
    <definedName name="varDataSheet_F">#REF!</definedName>
    <definedName name="varDataSheet_I" localSheetId="6">#REF!</definedName>
    <definedName name="varDataSheet_I" localSheetId="2">#REF!</definedName>
    <definedName name="varDataSheet_I" localSheetId="4">#REF!</definedName>
    <definedName name="varDataSheet_I">#REF!</definedName>
    <definedName name="varDataSheet_J" localSheetId="6">#REF!</definedName>
    <definedName name="varDataSheet_J" localSheetId="2">#REF!</definedName>
    <definedName name="varDataSheet_J" localSheetId="4">#REF!</definedName>
    <definedName name="varDataSheet_J">#REF!</definedName>
    <definedName name="varE12" localSheetId="6">#REF!</definedName>
    <definedName name="varE12" localSheetId="2">#REF!</definedName>
    <definedName name="varE12" localSheetId="4">#REF!</definedName>
    <definedName name="varE12">#REF!</definedName>
    <definedName name="varE13" localSheetId="6">#REF!</definedName>
    <definedName name="varE13" localSheetId="2">#REF!</definedName>
    <definedName name="varE13" localSheetId="4">#REF!</definedName>
    <definedName name="varE13">#REF!</definedName>
    <definedName name="varE14" localSheetId="6">#REF!</definedName>
    <definedName name="varE14" localSheetId="2">#REF!</definedName>
    <definedName name="varE14" localSheetId="4">#REF!</definedName>
    <definedName name="varE14">#REF!</definedName>
    <definedName name="varE15" localSheetId="6">#REF!</definedName>
    <definedName name="varE15" localSheetId="2">#REF!</definedName>
    <definedName name="varE15" localSheetId="4">#REF!</definedName>
    <definedName name="varE15">#REF!</definedName>
    <definedName name="varE16" localSheetId="6">#REF!</definedName>
    <definedName name="varE16" localSheetId="2">#REF!</definedName>
    <definedName name="varE16" localSheetId="4">#REF!</definedName>
    <definedName name="varE16">#REF!</definedName>
    <definedName name="varE17" localSheetId="6">#REF!</definedName>
    <definedName name="varE17" localSheetId="2">#REF!</definedName>
    <definedName name="varE17" localSheetId="4">#REF!</definedName>
    <definedName name="varE17">#REF!</definedName>
    <definedName name="varE18" localSheetId="6">#REF!</definedName>
    <definedName name="varE18" localSheetId="2">#REF!</definedName>
    <definedName name="varE18" localSheetId="4">#REF!</definedName>
    <definedName name="varE18">#REF!</definedName>
    <definedName name="varE19" localSheetId="6">#REF!</definedName>
    <definedName name="varE19" localSheetId="2">#REF!</definedName>
    <definedName name="varE19" localSheetId="4">#REF!</definedName>
    <definedName name="varE19">#REF!</definedName>
    <definedName name="varE20" localSheetId="6">#REF!</definedName>
    <definedName name="varE20" localSheetId="2">#REF!</definedName>
    <definedName name="varE20" localSheetId="4">#REF!</definedName>
    <definedName name="varE20">#REF!</definedName>
    <definedName name="varE21" localSheetId="6">#REF!</definedName>
    <definedName name="varE21" localSheetId="2">#REF!</definedName>
    <definedName name="varE21" localSheetId="4">#REF!</definedName>
    <definedName name="varE21">#REF!</definedName>
    <definedName name="varE22" localSheetId="6">#REF!</definedName>
    <definedName name="varE22" localSheetId="2">#REF!</definedName>
    <definedName name="varE22" localSheetId="4">#REF!</definedName>
    <definedName name="varE22">#REF!</definedName>
    <definedName name="varE23" localSheetId="6">#REF!</definedName>
    <definedName name="varE23" localSheetId="2">#REF!</definedName>
    <definedName name="varE23" localSheetId="4">#REF!</definedName>
    <definedName name="varE23">#REF!</definedName>
    <definedName name="varE24" localSheetId="6">#REF!</definedName>
    <definedName name="varE24" localSheetId="2">#REF!</definedName>
    <definedName name="varE24" localSheetId="4">#REF!</definedName>
    <definedName name="varE24">#REF!</definedName>
    <definedName name="varE25" localSheetId="6">#REF!</definedName>
    <definedName name="varE25" localSheetId="2">#REF!</definedName>
    <definedName name="varE25" localSheetId="4">#REF!</definedName>
    <definedName name="varE25">#REF!</definedName>
    <definedName name="varE26" localSheetId="6">#REF!</definedName>
    <definedName name="varE26" localSheetId="2">#REF!</definedName>
    <definedName name="varE26" localSheetId="4">#REF!</definedName>
    <definedName name="varE26">#REF!</definedName>
    <definedName name="varE27" localSheetId="6">#REF!</definedName>
    <definedName name="varE27" localSheetId="2">#REF!</definedName>
    <definedName name="varE27" localSheetId="4">#REF!</definedName>
    <definedName name="varE27">#REF!</definedName>
    <definedName name="varE28" localSheetId="6">#REF!</definedName>
    <definedName name="varE28" localSheetId="2">#REF!</definedName>
    <definedName name="varE28" localSheetId="4">#REF!</definedName>
    <definedName name="varE28">#REF!</definedName>
    <definedName name="varE29" localSheetId="6">#REF!</definedName>
    <definedName name="varE29" localSheetId="2">#REF!</definedName>
    <definedName name="varE29" localSheetId="4">#REF!</definedName>
    <definedName name="varE29">#REF!</definedName>
    <definedName name="varE30" localSheetId="6">#REF!</definedName>
    <definedName name="varE30" localSheetId="2">#REF!</definedName>
    <definedName name="varE30" localSheetId="4">#REF!</definedName>
    <definedName name="varE30">#REF!</definedName>
    <definedName name="varE31" localSheetId="6">#REF!</definedName>
    <definedName name="varE31" localSheetId="2">#REF!</definedName>
    <definedName name="varE31" localSheetId="4">#REF!</definedName>
    <definedName name="varE31">#REF!</definedName>
    <definedName name="varE32" localSheetId="6">#REF!</definedName>
    <definedName name="varE32" localSheetId="2">#REF!</definedName>
    <definedName name="varE32" localSheetId="4">#REF!</definedName>
    <definedName name="varE32">#REF!</definedName>
    <definedName name="varE33" localSheetId="6">#REF!</definedName>
    <definedName name="varE33" localSheetId="2">#REF!</definedName>
    <definedName name="varE33" localSheetId="4">#REF!</definedName>
    <definedName name="varE33">#REF!</definedName>
    <definedName name="varE34" localSheetId="6">#REF!</definedName>
    <definedName name="varE34" localSheetId="2">#REF!</definedName>
    <definedName name="varE34" localSheetId="4">#REF!</definedName>
    <definedName name="varE34">#REF!</definedName>
    <definedName name="varE35" localSheetId="6">#REF!</definedName>
    <definedName name="varE35" localSheetId="2">#REF!</definedName>
    <definedName name="varE35" localSheetId="4">#REF!</definedName>
    <definedName name="varE35">#REF!</definedName>
    <definedName name="varE36" localSheetId="6">#REF!</definedName>
    <definedName name="varE36" localSheetId="2">#REF!</definedName>
    <definedName name="varE36" localSheetId="4">#REF!</definedName>
    <definedName name="varE36">#REF!</definedName>
    <definedName name="varE37" localSheetId="6">#REF!</definedName>
    <definedName name="varE37" localSheetId="2">#REF!</definedName>
    <definedName name="varE37" localSheetId="4">#REF!</definedName>
    <definedName name="varE37">#REF!</definedName>
    <definedName name="varE38" localSheetId="6">#REF!</definedName>
    <definedName name="varE38" localSheetId="2">#REF!</definedName>
    <definedName name="varE38" localSheetId="4">#REF!</definedName>
    <definedName name="varE38">#REF!</definedName>
    <definedName name="varE39" localSheetId="6">#REF!</definedName>
    <definedName name="varE39" localSheetId="2">#REF!</definedName>
    <definedName name="varE39" localSheetId="4">#REF!</definedName>
    <definedName name="varE39">#REF!</definedName>
    <definedName name="varE40" localSheetId="6">#REF!</definedName>
    <definedName name="varE40" localSheetId="2">#REF!</definedName>
    <definedName name="varE40" localSheetId="4">#REF!</definedName>
    <definedName name="varE40">#REF!</definedName>
    <definedName name="varE41" localSheetId="6">#REF!</definedName>
    <definedName name="varE41" localSheetId="2">#REF!</definedName>
    <definedName name="varE41" localSheetId="4">#REF!</definedName>
    <definedName name="varE41">#REF!</definedName>
    <definedName name="varE42" localSheetId="6">#REF!</definedName>
    <definedName name="varE42" localSheetId="2">#REF!</definedName>
    <definedName name="varE42" localSheetId="4">#REF!</definedName>
    <definedName name="varE42">#REF!</definedName>
    <definedName name="varE43" localSheetId="6">#REF!</definedName>
    <definedName name="varE43" localSheetId="2">#REF!</definedName>
    <definedName name="varE43" localSheetId="4">#REF!</definedName>
    <definedName name="varE43">#REF!</definedName>
    <definedName name="varE44" localSheetId="6">#REF!</definedName>
    <definedName name="varE44" localSheetId="2">#REF!</definedName>
    <definedName name="varE44" localSheetId="4">#REF!</definedName>
    <definedName name="varE44">#REF!</definedName>
    <definedName name="varE45" localSheetId="6">#REF!</definedName>
    <definedName name="varE45" localSheetId="2">#REF!</definedName>
    <definedName name="varE45" localSheetId="4">#REF!</definedName>
    <definedName name="varE45">#REF!</definedName>
    <definedName name="varE46" localSheetId="6">#REF!</definedName>
    <definedName name="varE46" localSheetId="2">#REF!</definedName>
    <definedName name="varE46" localSheetId="4">#REF!</definedName>
    <definedName name="varE46">#REF!</definedName>
    <definedName name="varE47" localSheetId="6">#REF!</definedName>
    <definedName name="varE47" localSheetId="2">#REF!</definedName>
    <definedName name="varE47" localSheetId="4">#REF!</definedName>
    <definedName name="varE47">#REF!</definedName>
    <definedName name="varE48" localSheetId="6">#REF!</definedName>
    <definedName name="varE48" localSheetId="2">#REF!</definedName>
    <definedName name="varE48" localSheetId="4">#REF!</definedName>
    <definedName name="varE48">#REF!</definedName>
    <definedName name="varE49" localSheetId="6">#REF!</definedName>
    <definedName name="varE49" localSheetId="2">#REF!</definedName>
    <definedName name="varE49" localSheetId="4">#REF!</definedName>
    <definedName name="varE49">#REF!</definedName>
    <definedName name="varE50" localSheetId="6">#REF!</definedName>
    <definedName name="varE50" localSheetId="2">#REF!</definedName>
    <definedName name="varE50" localSheetId="4">#REF!</definedName>
    <definedName name="varE50">#REF!</definedName>
    <definedName name="varE51" localSheetId="6">#REF!</definedName>
    <definedName name="varE51" localSheetId="2">#REF!</definedName>
    <definedName name="varE51" localSheetId="4">#REF!</definedName>
    <definedName name="varE51">#REF!</definedName>
    <definedName name="varE52" localSheetId="6">#REF!</definedName>
    <definedName name="varE52" localSheetId="2">#REF!</definedName>
    <definedName name="varE52" localSheetId="4">#REF!</definedName>
    <definedName name="varE52">#REF!</definedName>
    <definedName name="varE53" localSheetId="6">#REF!</definedName>
    <definedName name="varE53" localSheetId="2">#REF!</definedName>
    <definedName name="varE53" localSheetId="4">#REF!</definedName>
    <definedName name="varE53">#REF!</definedName>
    <definedName name="varE54" localSheetId="6">#REF!</definedName>
    <definedName name="varE54" localSheetId="2">#REF!</definedName>
    <definedName name="varE54" localSheetId="4">#REF!</definedName>
    <definedName name="varE54">#REF!</definedName>
    <definedName name="varE55" localSheetId="6">#REF!</definedName>
    <definedName name="varE55" localSheetId="2">#REF!</definedName>
    <definedName name="varE55" localSheetId="4">#REF!</definedName>
    <definedName name="varE55">#REF!</definedName>
    <definedName name="varE56" localSheetId="6">#REF!</definedName>
    <definedName name="varE56" localSheetId="2">#REF!</definedName>
    <definedName name="varE56" localSheetId="4">#REF!</definedName>
    <definedName name="varE56">#REF!</definedName>
    <definedName name="varE57" localSheetId="6">#REF!</definedName>
    <definedName name="varE57" localSheetId="2">#REF!</definedName>
    <definedName name="varE57" localSheetId="4">#REF!</definedName>
    <definedName name="varE57">#REF!</definedName>
    <definedName name="varE58" localSheetId="6">#REF!</definedName>
    <definedName name="varE58" localSheetId="2">#REF!</definedName>
    <definedName name="varE58" localSheetId="4">#REF!</definedName>
    <definedName name="varE58">#REF!</definedName>
    <definedName name="varErrataImpactAnalysis_E" localSheetId="6">#REF!</definedName>
    <definedName name="varErrataImpactAnalysis_E" localSheetId="2">#REF!</definedName>
    <definedName name="varErrataImpactAnalysis_E" localSheetId="4">#REF!</definedName>
    <definedName name="varErrataImpactAnalysis_E">#REF!</definedName>
    <definedName name="varErrataImpactAnalysis_F" localSheetId="6">#REF!</definedName>
    <definedName name="varErrataImpactAnalysis_F" localSheetId="2">#REF!</definedName>
    <definedName name="varErrataImpactAnalysis_F" localSheetId="4">#REF!</definedName>
    <definedName name="varErrataImpactAnalysis_F">#REF!</definedName>
    <definedName name="varErrataImpactAnalysis_I" localSheetId="6">#REF!</definedName>
    <definedName name="varErrataImpactAnalysis_I" localSheetId="2">#REF!</definedName>
    <definedName name="varErrataImpactAnalysis_I" localSheetId="4">#REF!</definedName>
    <definedName name="varErrataImpactAnalysis_I">#REF!</definedName>
    <definedName name="varErrataImpactAnalysis_J" localSheetId="6">#REF!</definedName>
    <definedName name="varErrataImpactAnalysis_J" localSheetId="2">#REF!</definedName>
    <definedName name="varErrataImpactAnalysis_J" localSheetId="4">#REF!</definedName>
    <definedName name="varErrataImpactAnalysis_J">#REF!</definedName>
    <definedName name="varF12" localSheetId="6">#REF!</definedName>
    <definedName name="varF12" localSheetId="2">#REF!</definedName>
    <definedName name="varF12" localSheetId="4">#REF!</definedName>
    <definedName name="varF12">#REF!</definedName>
    <definedName name="varF13" localSheetId="6">#REF!</definedName>
    <definedName name="varF13" localSheetId="2">#REF!</definedName>
    <definedName name="varF13" localSheetId="4">#REF!</definedName>
    <definedName name="varF13">#REF!</definedName>
    <definedName name="varF14" localSheetId="6">#REF!</definedName>
    <definedName name="varF14" localSheetId="2">#REF!</definedName>
    <definedName name="varF14" localSheetId="4">#REF!</definedName>
    <definedName name="varF14">#REF!</definedName>
    <definedName name="varF15" localSheetId="6">#REF!</definedName>
    <definedName name="varF15" localSheetId="2">#REF!</definedName>
    <definedName name="varF15" localSheetId="4">#REF!</definedName>
    <definedName name="varF15">#REF!</definedName>
    <definedName name="varF16" localSheetId="6">#REF!</definedName>
    <definedName name="varF16" localSheetId="2">#REF!</definedName>
    <definedName name="varF16" localSheetId="4">#REF!</definedName>
    <definedName name="varF16">#REF!</definedName>
    <definedName name="varF17" localSheetId="6">#REF!</definedName>
    <definedName name="varF17" localSheetId="2">#REF!</definedName>
    <definedName name="varF17" localSheetId="4">#REF!</definedName>
    <definedName name="varF17">#REF!</definedName>
    <definedName name="varF18" localSheetId="6">#REF!</definedName>
    <definedName name="varF18" localSheetId="2">#REF!</definedName>
    <definedName name="varF18" localSheetId="4">#REF!</definedName>
    <definedName name="varF18">#REF!</definedName>
    <definedName name="varF19" localSheetId="6">#REF!</definedName>
    <definedName name="varF19" localSheetId="2">#REF!</definedName>
    <definedName name="varF19" localSheetId="4">#REF!</definedName>
    <definedName name="varF19">#REF!</definedName>
    <definedName name="varF20" localSheetId="6">#REF!</definedName>
    <definedName name="varF20" localSheetId="2">#REF!</definedName>
    <definedName name="varF20" localSheetId="4">#REF!</definedName>
    <definedName name="varF20">#REF!</definedName>
    <definedName name="varF21" localSheetId="6">#REF!</definedName>
    <definedName name="varF21" localSheetId="2">#REF!</definedName>
    <definedName name="varF21" localSheetId="4">#REF!</definedName>
    <definedName name="varF21">#REF!</definedName>
    <definedName name="varF22" localSheetId="6">#REF!</definedName>
    <definedName name="varF22" localSheetId="2">#REF!</definedName>
    <definedName name="varF22" localSheetId="4">#REF!</definedName>
    <definedName name="varF22">#REF!</definedName>
    <definedName name="varF23" localSheetId="6">#REF!</definedName>
    <definedName name="varF23" localSheetId="2">#REF!</definedName>
    <definedName name="varF23" localSheetId="4">#REF!</definedName>
    <definedName name="varF23">#REF!</definedName>
    <definedName name="varF24" localSheetId="6">#REF!</definedName>
    <definedName name="varF24" localSheetId="2">#REF!</definedName>
    <definedName name="varF24" localSheetId="4">#REF!</definedName>
    <definedName name="varF24">#REF!</definedName>
    <definedName name="varF25" localSheetId="6">#REF!</definedName>
    <definedName name="varF25" localSheetId="2">#REF!</definedName>
    <definedName name="varF25" localSheetId="4">#REF!</definedName>
    <definedName name="varF25">#REF!</definedName>
    <definedName name="varF26" localSheetId="6">#REF!</definedName>
    <definedName name="varF26" localSheetId="2">#REF!</definedName>
    <definedName name="varF26" localSheetId="4">#REF!</definedName>
    <definedName name="varF26">#REF!</definedName>
    <definedName name="varF27" localSheetId="6">#REF!</definedName>
    <definedName name="varF27" localSheetId="2">#REF!</definedName>
    <definedName name="varF27" localSheetId="4">#REF!</definedName>
    <definedName name="varF27">#REF!</definedName>
    <definedName name="varF28" localSheetId="6">#REF!</definedName>
    <definedName name="varF28" localSheetId="2">#REF!</definedName>
    <definedName name="varF28" localSheetId="4">#REF!</definedName>
    <definedName name="varF28">#REF!</definedName>
    <definedName name="varF29" localSheetId="6">#REF!</definedName>
    <definedName name="varF29" localSheetId="2">#REF!</definedName>
    <definedName name="varF29" localSheetId="4">#REF!</definedName>
    <definedName name="varF29">#REF!</definedName>
    <definedName name="varF30" localSheetId="6">#REF!</definedName>
    <definedName name="varF30" localSheetId="2">#REF!</definedName>
    <definedName name="varF30" localSheetId="4">#REF!</definedName>
    <definedName name="varF30">#REF!</definedName>
    <definedName name="varF31" localSheetId="6">#REF!</definedName>
    <definedName name="varF31" localSheetId="2">#REF!</definedName>
    <definedName name="varF31" localSheetId="4">#REF!</definedName>
    <definedName name="varF31">#REF!</definedName>
    <definedName name="varF32" localSheetId="6">#REF!</definedName>
    <definedName name="varF32" localSheetId="2">#REF!</definedName>
    <definedName name="varF32" localSheetId="4">#REF!</definedName>
    <definedName name="varF32">#REF!</definedName>
    <definedName name="varF33" localSheetId="6">#REF!</definedName>
    <definedName name="varF33" localSheetId="2">#REF!</definedName>
    <definedName name="varF33" localSheetId="4">#REF!</definedName>
    <definedName name="varF33">#REF!</definedName>
    <definedName name="varF34" localSheetId="6">#REF!</definedName>
    <definedName name="varF34" localSheetId="2">#REF!</definedName>
    <definedName name="varF34" localSheetId="4">#REF!</definedName>
    <definedName name="varF34">#REF!</definedName>
    <definedName name="varF35" localSheetId="6">#REF!</definedName>
    <definedName name="varF35" localSheetId="2">#REF!</definedName>
    <definedName name="varF35" localSheetId="4">#REF!</definedName>
    <definedName name="varF35">#REF!</definedName>
    <definedName name="varF36" localSheetId="6">#REF!</definedName>
    <definedName name="varF36" localSheetId="2">#REF!</definedName>
    <definedName name="varF36" localSheetId="4">#REF!</definedName>
    <definedName name="varF36">#REF!</definedName>
    <definedName name="varF37" localSheetId="6">#REF!</definedName>
    <definedName name="varF37" localSheetId="2">#REF!</definedName>
    <definedName name="varF37" localSheetId="4">#REF!</definedName>
    <definedName name="varF37">#REF!</definedName>
    <definedName name="varF38" localSheetId="6">#REF!</definedName>
    <definedName name="varF38" localSheetId="2">#REF!</definedName>
    <definedName name="varF38" localSheetId="4">#REF!</definedName>
    <definedName name="varF38">#REF!</definedName>
    <definedName name="varF39" localSheetId="6">#REF!</definedName>
    <definedName name="varF39" localSheetId="2">#REF!</definedName>
    <definedName name="varF39" localSheetId="4">#REF!</definedName>
    <definedName name="varF39">#REF!</definedName>
    <definedName name="varF40" localSheetId="6">#REF!</definedName>
    <definedName name="varF40" localSheetId="2">#REF!</definedName>
    <definedName name="varF40" localSheetId="4">#REF!</definedName>
    <definedName name="varF40">#REF!</definedName>
    <definedName name="varF41" localSheetId="6">#REF!</definedName>
    <definedName name="varF41" localSheetId="2">#REF!</definedName>
    <definedName name="varF41" localSheetId="4">#REF!</definedName>
    <definedName name="varF41">#REF!</definedName>
    <definedName name="varF42" localSheetId="6">#REF!</definedName>
    <definedName name="varF42" localSheetId="2">#REF!</definedName>
    <definedName name="varF42" localSheetId="4">#REF!</definedName>
    <definedName name="varF42">#REF!</definedName>
    <definedName name="varF43" localSheetId="6">#REF!</definedName>
    <definedName name="varF43" localSheetId="2">#REF!</definedName>
    <definedName name="varF43" localSheetId="4">#REF!</definedName>
    <definedName name="varF43">#REF!</definedName>
    <definedName name="varF44" localSheetId="6">#REF!</definedName>
    <definedName name="varF44" localSheetId="2">#REF!</definedName>
    <definedName name="varF44" localSheetId="4">#REF!</definedName>
    <definedName name="varF44">#REF!</definedName>
    <definedName name="varF45" localSheetId="6">#REF!</definedName>
    <definedName name="varF45" localSheetId="2">#REF!</definedName>
    <definedName name="varF45" localSheetId="4">#REF!</definedName>
    <definedName name="varF45">#REF!</definedName>
    <definedName name="varF46" localSheetId="6">#REF!</definedName>
    <definedName name="varF46" localSheetId="2">#REF!</definedName>
    <definedName name="varF46" localSheetId="4">#REF!</definedName>
    <definedName name="varF46">#REF!</definedName>
    <definedName name="varF47" localSheetId="6">#REF!</definedName>
    <definedName name="varF47" localSheetId="2">#REF!</definedName>
    <definedName name="varF47" localSheetId="4">#REF!</definedName>
    <definedName name="varF47">#REF!</definedName>
    <definedName name="varF48" localSheetId="6">#REF!</definedName>
    <definedName name="varF48" localSheetId="2">#REF!</definedName>
    <definedName name="varF48" localSheetId="4">#REF!</definedName>
    <definedName name="varF48">#REF!</definedName>
    <definedName name="varF49" localSheetId="6">#REF!</definedName>
    <definedName name="varF49" localSheetId="2">#REF!</definedName>
    <definedName name="varF49" localSheetId="4">#REF!</definedName>
    <definedName name="varF49">#REF!</definedName>
    <definedName name="varF50" localSheetId="6">#REF!</definedName>
    <definedName name="varF50" localSheetId="2">#REF!</definedName>
    <definedName name="varF50" localSheetId="4">#REF!</definedName>
    <definedName name="varF50">#REF!</definedName>
    <definedName name="varF51" localSheetId="6">#REF!</definedName>
    <definedName name="varF51" localSheetId="2">#REF!</definedName>
    <definedName name="varF51" localSheetId="4">#REF!</definedName>
    <definedName name="varF51">#REF!</definedName>
    <definedName name="varF52" localSheetId="6">#REF!</definedName>
    <definedName name="varF52" localSheetId="2">#REF!</definedName>
    <definedName name="varF52" localSheetId="4">#REF!</definedName>
    <definedName name="varF52">#REF!</definedName>
    <definedName name="varF53" localSheetId="6">#REF!</definedName>
    <definedName name="varF53" localSheetId="2">#REF!</definedName>
    <definedName name="varF53" localSheetId="4">#REF!</definedName>
    <definedName name="varF53">#REF!</definedName>
    <definedName name="varF54" localSheetId="6">#REF!</definedName>
    <definedName name="varF54" localSheetId="2">#REF!</definedName>
    <definedName name="varF54" localSheetId="4">#REF!</definedName>
    <definedName name="varF54">#REF!</definedName>
    <definedName name="varF55" localSheetId="6">#REF!</definedName>
    <definedName name="varF55" localSheetId="2">#REF!</definedName>
    <definedName name="varF55" localSheetId="4">#REF!</definedName>
    <definedName name="varF55">#REF!</definedName>
    <definedName name="varF56" localSheetId="6">#REF!</definedName>
    <definedName name="varF56" localSheetId="2">#REF!</definedName>
    <definedName name="varF56" localSheetId="4">#REF!</definedName>
    <definedName name="varF56">#REF!</definedName>
    <definedName name="varF57" localSheetId="6">#REF!</definedName>
    <definedName name="varF57" localSheetId="2">#REF!</definedName>
    <definedName name="varF57" localSheetId="4">#REF!</definedName>
    <definedName name="varF57">#REF!</definedName>
    <definedName name="varF58" localSheetId="6">#REF!</definedName>
    <definedName name="varF58" localSheetId="2">#REF!</definedName>
    <definedName name="varF58" localSheetId="4">#REF!</definedName>
    <definedName name="varF58">#REF!</definedName>
    <definedName name="varI12" localSheetId="6">#REF!</definedName>
    <definedName name="varI12" localSheetId="2">#REF!</definedName>
    <definedName name="varI12" localSheetId="4">#REF!</definedName>
    <definedName name="varI12">#REF!</definedName>
    <definedName name="varI13" localSheetId="6">#REF!</definedName>
    <definedName name="varI13" localSheetId="2">#REF!</definedName>
    <definedName name="varI13" localSheetId="4">#REF!</definedName>
    <definedName name="varI13">#REF!</definedName>
    <definedName name="varI14" localSheetId="6">#REF!</definedName>
    <definedName name="varI14" localSheetId="2">#REF!</definedName>
    <definedName name="varI14" localSheetId="4">#REF!</definedName>
    <definedName name="varI14">#REF!</definedName>
    <definedName name="varI15" localSheetId="6">#REF!</definedName>
    <definedName name="varI15" localSheetId="2">#REF!</definedName>
    <definedName name="varI15" localSheetId="4">#REF!</definedName>
    <definedName name="varI15">#REF!</definedName>
    <definedName name="varI16" localSheetId="6">#REF!</definedName>
    <definedName name="varI16" localSheetId="2">#REF!</definedName>
    <definedName name="varI16" localSheetId="4">#REF!</definedName>
    <definedName name="varI16">#REF!</definedName>
    <definedName name="varI17" localSheetId="6">#REF!</definedName>
    <definedName name="varI17" localSheetId="2">#REF!</definedName>
    <definedName name="varI17" localSheetId="4">#REF!</definedName>
    <definedName name="varI17">#REF!</definedName>
    <definedName name="varI18" localSheetId="6">#REF!</definedName>
    <definedName name="varI18" localSheetId="2">#REF!</definedName>
    <definedName name="varI18" localSheetId="4">#REF!</definedName>
    <definedName name="varI18">#REF!</definedName>
    <definedName name="varI19" localSheetId="6">#REF!</definedName>
    <definedName name="varI19" localSheetId="2">#REF!</definedName>
    <definedName name="varI19" localSheetId="4">#REF!</definedName>
    <definedName name="varI19">#REF!</definedName>
    <definedName name="varI20" localSheetId="6">#REF!</definedName>
    <definedName name="varI20" localSheetId="2">#REF!</definedName>
    <definedName name="varI20" localSheetId="4">#REF!</definedName>
    <definedName name="varI20">#REF!</definedName>
    <definedName name="varI21" localSheetId="6">#REF!</definedName>
    <definedName name="varI21" localSheetId="2">#REF!</definedName>
    <definedName name="varI21" localSheetId="4">#REF!</definedName>
    <definedName name="varI21">#REF!</definedName>
    <definedName name="varI22" localSheetId="6">#REF!</definedName>
    <definedName name="varI22" localSheetId="2">#REF!</definedName>
    <definedName name="varI22" localSheetId="4">#REF!</definedName>
    <definedName name="varI22">#REF!</definedName>
    <definedName name="varI23" localSheetId="6">#REF!</definedName>
    <definedName name="varI23" localSheetId="2">#REF!</definedName>
    <definedName name="varI23" localSheetId="4">#REF!</definedName>
    <definedName name="varI23">#REF!</definedName>
    <definedName name="varI24" localSheetId="6">#REF!</definedName>
    <definedName name="varI24" localSheetId="2">#REF!</definedName>
    <definedName name="varI24" localSheetId="4">#REF!</definedName>
    <definedName name="varI24">#REF!</definedName>
    <definedName name="varI25" localSheetId="6">#REF!</definedName>
    <definedName name="varI25" localSheetId="2">#REF!</definedName>
    <definedName name="varI25" localSheetId="4">#REF!</definedName>
    <definedName name="varI25">#REF!</definedName>
    <definedName name="varI26" localSheetId="6">#REF!</definedName>
    <definedName name="varI26" localSheetId="2">#REF!</definedName>
    <definedName name="varI26" localSheetId="4">#REF!</definedName>
    <definedName name="varI26">#REF!</definedName>
    <definedName name="varI27" localSheetId="6">#REF!</definedName>
    <definedName name="varI27" localSheetId="2">#REF!</definedName>
    <definedName name="varI27" localSheetId="4">#REF!</definedName>
    <definedName name="varI27">#REF!</definedName>
    <definedName name="varI28" localSheetId="6">#REF!</definedName>
    <definedName name="varI28" localSheetId="2">#REF!</definedName>
    <definedName name="varI28" localSheetId="4">#REF!</definedName>
    <definedName name="varI28">#REF!</definedName>
    <definedName name="varI29" localSheetId="6">#REF!</definedName>
    <definedName name="varI29" localSheetId="2">#REF!</definedName>
    <definedName name="varI29" localSheetId="4">#REF!</definedName>
    <definedName name="varI29">#REF!</definedName>
    <definedName name="varI30" localSheetId="6">#REF!</definedName>
    <definedName name="varI30" localSheetId="2">#REF!</definedName>
    <definedName name="varI30" localSheetId="4">#REF!</definedName>
    <definedName name="varI30">#REF!</definedName>
    <definedName name="varI31" localSheetId="6">#REF!</definedName>
    <definedName name="varI31" localSheetId="2">#REF!</definedName>
    <definedName name="varI31" localSheetId="4">#REF!</definedName>
    <definedName name="varI31">#REF!</definedName>
    <definedName name="varI32" localSheetId="6">#REF!</definedName>
    <definedName name="varI32" localSheetId="2">#REF!</definedName>
    <definedName name="varI32" localSheetId="4">#REF!</definedName>
    <definedName name="varI32">#REF!</definedName>
    <definedName name="varI33" localSheetId="6">#REF!</definedName>
    <definedName name="varI33" localSheetId="2">#REF!</definedName>
    <definedName name="varI33" localSheetId="4">#REF!</definedName>
    <definedName name="varI33">#REF!</definedName>
    <definedName name="varI34" localSheetId="6">#REF!</definedName>
    <definedName name="varI34" localSheetId="2">#REF!</definedName>
    <definedName name="varI34" localSheetId="4">#REF!</definedName>
    <definedName name="varI34">#REF!</definedName>
    <definedName name="varI35" localSheetId="6">#REF!</definedName>
    <definedName name="varI35" localSheetId="2">#REF!</definedName>
    <definedName name="varI35" localSheetId="4">#REF!</definedName>
    <definedName name="varI35">#REF!</definedName>
    <definedName name="varI36" localSheetId="6">#REF!</definedName>
    <definedName name="varI36" localSheetId="2">#REF!</definedName>
    <definedName name="varI36" localSheetId="4">#REF!</definedName>
    <definedName name="varI36">#REF!</definedName>
    <definedName name="varI37" localSheetId="6">#REF!</definedName>
    <definedName name="varI37" localSheetId="2">#REF!</definedName>
    <definedName name="varI37" localSheetId="4">#REF!</definedName>
    <definedName name="varI37">#REF!</definedName>
    <definedName name="varI38" localSheetId="6">#REF!</definedName>
    <definedName name="varI38" localSheetId="2">#REF!</definedName>
    <definedName name="varI38" localSheetId="4">#REF!</definedName>
    <definedName name="varI38">#REF!</definedName>
    <definedName name="varI39" localSheetId="6">#REF!</definedName>
    <definedName name="varI39" localSheetId="2">#REF!</definedName>
    <definedName name="varI39" localSheetId="4">#REF!</definedName>
    <definedName name="varI39">#REF!</definedName>
    <definedName name="varI40" localSheetId="6">#REF!</definedName>
    <definedName name="varI40" localSheetId="2">#REF!</definedName>
    <definedName name="varI40" localSheetId="4">#REF!</definedName>
    <definedName name="varI40">#REF!</definedName>
    <definedName name="varI41" localSheetId="6">#REF!</definedName>
    <definedName name="varI41" localSheetId="2">#REF!</definedName>
    <definedName name="varI41" localSheetId="4">#REF!</definedName>
    <definedName name="varI41">#REF!</definedName>
    <definedName name="varI42" localSheetId="6">#REF!</definedName>
    <definedName name="varI42" localSheetId="2">#REF!</definedName>
    <definedName name="varI42" localSheetId="4">#REF!</definedName>
    <definedName name="varI42">#REF!</definedName>
    <definedName name="varI43" localSheetId="6">#REF!</definedName>
    <definedName name="varI43" localSheetId="2">#REF!</definedName>
    <definedName name="varI43" localSheetId="4">#REF!</definedName>
    <definedName name="varI43">#REF!</definedName>
    <definedName name="varI44" localSheetId="6">#REF!</definedName>
    <definedName name="varI44" localSheetId="2">#REF!</definedName>
    <definedName name="varI44" localSheetId="4">#REF!</definedName>
    <definedName name="varI44">#REF!</definedName>
    <definedName name="varI45" localSheetId="6">#REF!</definedName>
    <definedName name="varI45" localSheetId="2">#REF!</definedName>
    <definedName name="varI45" localSheetId="4">#REF!</definedName>
    <definedName name="varI45">#REF!</definedName>
    <definedName name="varI46" localSheetId="6">#REF!</definedName>
    <definedName name="varI46" localSheetId="2">#REF!</definedName>
    <definedName name="varI46" localSheetId="4">#REF!</definedName>
    <definedName name="varI46">#REF!</definedName>
    <definedName name="varI47" localSheetId="6">#REF!</definedName>
    <definedName name="varI47" localSheetId="2">#REF!</definedName>
    <definedName name="varI47" localSheetId="4">#REF!</definedName>
    <definedName name="varI47">#REF!</definedName>
    <definedName name="varI48" localSheetId="6">#REF!</definedName>
    <definedName name="varI48" localSheetId="2">#REF!</definedName>
    <definedName name="varI48" localSheetId="4">#REF!</definedName>
    <definedName name="varI48">#REF!</definedName>
    <definedName name="varI49" localSheetId="6">#REF!</definedName>
    <definedName name="varI49" localSheetId="2">#REF!</definedName>
    <definedName name="varI49" localSheetId="4">#REF!</definedName>
    <definedName name="varI49">#REF!</definedName>
    <definedName name="varI50" localSheetId="6">#REF!</definedName>
    <definedName name="varI50" localSheetId="2">#REF!</definedName>
    <definedName name="varI50" localSheetId="4">#REF!</definedName>
    <definedName name="varI50">#REF!</definedName>
    <definedName name="varI51" localSheetId="6">#REF!</definedName>
    <definedName name="varI51" localSheetId="2">#REF!</definedName>
    <definedName name="varI51" localSheetId="4">#REF!</definedName>
    <definedName name="varI51">#REF!</definedName>
    <definedName name="varI52" localSheetId="6">#REF!</definedName>
    <definedName name="varI52" localSheetId="2">#REF!</definedName>
    <definedName name="varI52" localSheetId="4">#REF!</definedName>
    <definedName name="varI52">#REF!</definedName>
    <definedName name="varI53" localSheetId="6">#REF!</definedName>
    <definedName name="varI53" localSheetId="2">#REF!</definedName>
    <definedName name="varI53" localSheetId="4">#REF!</definedName>
    <definedName name="varI53">#REF!</definedName>
    <definedName name="varI54" localSheetId="6">#REF!</definedName>
    <definedName name="varI54" localSheetId="2">#REF!</definedName>
    <definedName name="varI54" localSheetId="4">#REF!</definedName>
    <definedName name="varI54">#REF!</definedName>
    <definedName name="varI55" localSheetId="6">#REF!</definedName>
    <definedName name="varI55" localSheetId="2">#REF!</definedName>
    <definedName name="varI55" localSheetId="4">#REF!</definedName>
    <definedName name="varI55">#REF!</definedName>
    <definedName name="varI56" localSheetId="6">#REF!</definedName>
    <definedName name="varI56" localSheetId="2">#REF!</definedName>
    <definedName name="varI56" localSheetId="4">#REF!</definedName>
    <definedName name="varI56">#REF!</definedName>
    <definedName name="varI57" localSheetId="6">#REF!</definedName>
    <definedName name="varI57" localSheetId="2">#REF!</definedName>
    <definedName name="varI57" localSheetId="4">#REF!</definedName>
    <definedName name="varI57">#REF!</definedName>
    <definedName name="varI58" localSheetId="6">#REF!</definedName>
    <definedName name="varI58" localSheetId="2">#REF!</definedName>
    <definedName name="varI58" localSheetId="4">#REF!</definedName>
    <definedName name="varI58">#REF!</definedName>
    <definedName name="varJ12" localSheetId="6">#REF!</definedName>
    <definedName name="varJ12" localSheetId="2">#REF!</definedName>
    <definedName name="varJ12" localSheetId="4">#REF!</definedName>
    <definedName name="varJ12">#REF!</definedName>
    <definedName name="varJ13" localSheetId="6">#REF!</definedName>
    <definedName name="varJ13" localSheetId="2">#REF!</definedName>
    <definedName name="varJ13" localSheetId="4">#REF!</definedName>
    <definedName name="varJ13">#REF!</definedName>
    <definedName name="varJ14" localSheetId="6">#REF!</definedName>
    <definedName name="varJ14" localSheetId="2">#REF!</definedName>
    <definedName name="varJ14" localSheetId="4">#REF!</definedName>
    <definedName name="varJ14">#REF!</definedName>
    <definedName name="varJ15" localSheetId="6">#REF!</definedName>
    <definedName name="varJ15" localSheetId="2">#REF!</definedName>
    <definedName name="varJ15" localSheetId="4">#REF!</definedName>
    <definedName name="varJ15">#REF!</definedName>
    <definedName name="varJ16" localSheetId="6">#REF!</definedName>
    <definedName name="varJ16" localSheetId="2">#REF!</definedName>
    <definedName name="varJ16" localSheetId="4">#REF!</definedName>
    <definedName name="varJ16">#REF!</definedName>
    <definedName name="varJ17" localSheetId="6">#REF!</definedName>
    <definedName name="varJ17" localSheetId="2">#REF!</definedName>
    <definedName name="varJ17" localSheetId="4">#REF!</definedName>
    <definedName name="varJ17">#REF!</definedName>
    <definedName name="varJ18" localSheetId="6">#REF!</definedName>
    <definedName name="varJ18" localSheetId="2">#REF!</definedName>
    <definedName name="varJ18" localSheetId="4">#REF!</definedName>
    <definedName name="varJ18">#REF!</definedName>
    <definedName name="varJ19" localSheetId="6">#REF!</definedName>
    <definedName name="varJ19" localSheetId="2">#REF!</definedName>
    <definedName name="varJ19" localSheetId="4">#REF!</definedName>
    <definedName name="varJ19">#REF!</definedName>
    <definedName name="varJ20" localSheetId="6">#REF!</definedName>
    <definedName name="varJ20" localSheetId="2">#REF!</definedName>
    <definedName name="varJ20" localSheetId="4">#REF!</definedName>
    <definedName name="varJ20">#REF!</definedName>
    <definedName name="varJ21" localSheetId="6">#REF!</definedName>
    <definedName name="varJ21" localSheetId="2">#REF!</definedName>
    <definedName name="varJ21" localSheetId="4">#REF!</definedName>
    <definedName name="varJ21">#REF!</definedName>
    <definedName name="varJ22" localSheetId="6">#REF!</definedName>
    <definedName name="varJ22" localSheetId="2">#REF!</definedName>
    <definedName name="varJ22" localSheetId="4">#REF!</definedName>
    <definedName name="varJ22">#REF!</definedName>
    <definedName name="varJ23" localSheetId="6">#REF!</definedName>
    <definedName name="varJ23" localSheetId="2">#REF!</definedName>
    <definedName name="varJ23" localSheetId="4">#REF!</definedName>
    <definedName name="varJ23">#REF!</definedName>
    <definedName name="varJ24" localSheetId="6">#REF!</definedName>
    <definedName name="varJ24" localSheetId="2">#REF!</definedName>
    <definedName name="varJ24" localSheetId="4">#REF!</definedName>
    <definedName name="varJ24">#REF!</definedName>
    <definedName name="varJ25" localSheetId="6">#REF!</definedName>
    <definedName name="varJ25" localSheetId="2">#REF!</definedName>
    <definedName name="varJ25" localSheetId="4">#REF!</definedName>
    <definedName name="varJ25">#REF!</definedName>
    <definedName name="varJ26" localSheetId="6">#REF!</definedName>
    <definedName name="varJ26" localSheetId="2">#REF!</definedName>
    <definedName name="varJ26" localSheetId="4">#REF!</definedName>
    <definedName name="varJ26">#REF!</definedName>
    <definedName name="varJ27" localSheetId="6">#REF!</definedName>
    <definedName name="varJ27" localSheetId="2">#REF!</definedName>
    <definedName name="varJ27" localSheetId="4">#REF!</definedName>
    <definedName name="varJ27">#REF!</definedName>
    <definedName name="varJ28" localSheetId="6">#REF!</definedName>
    <definedName name="varJ28" localSheetId="2">#REF!</definedName>
    <definedName name="varJ28" localSheetId="4">#REF!</definedName>
    <definedName name="varJ28">#REF!</definedName>
    <definedName name="varJ29" localSheetId="6">#REF!</definedName>
    <definedName name="varJ29" localSheetId="2">#REF!</definedName>
    <definedName name="varJ29" localSheetId="4">#REF!</definedName>
    <definedName name="varJ29">#REF!</definedName>
    <definedName name="varJ30" localSheetId="6">#REF!</definedName>
    <definedName name="varJ30" localSheetId="2">#REF!</definedName>
    <definedName name="varJ30" localSheetId="4">#REF!</definedName>
    <definedName name="varJ30">#REF!</definedName>
    <definedName name="varJ31" localSheetId="6">#REF!</definedName>
    <definedName name="varJ31" localSheetId="2">#REF!</definedName>
    <definedName name="varJ31" localSheetId="4">#REF!</definedName>
    <definedName name="varJ31">#REF!</definedName>
    <definedName name="varJ32" localSheetId="6">#REF!</definedName>
    <definedName name="varJ32" localSheetId="2">#REF!</definedName>
    <definedName name="varJ32" localSheetId="4">#REF!</definedName>
    <definedName name="varJ32">#REF!</definedName>
    <definedName name="varJ33" localSheetId="6">#REF!</definedName>
    <definedName name="varJ33" localSheetId="2">#REF!</definedName>
    <definedName name="varJ33" localSheetId="4">#REF!</definedName>
    <definedName name="varJ33">#REF!</definedName>
    <definedName name="varJ34" localSheetId="6">#REF!</definedName>
    <definedName name="varJ34" localSheetId="2">#REF!</definedName>
    <definedName name="varJ34" localSheetId="4">#REF!</definedName>
    <definedName name="varJ34">#REF!</definedName>
    <definedName name="varJ35" localSheetId="6">#REF!</definedName>
    <definedName name="varJ35" localSheetId="2">#REF!</definedName>
    <definedName name="varJ35" localSheetId="4">#REF!</definedName>
    <definedName name="varJ35">#REF!</definedName>
    <definedName name="varJ36" localSheetId="6">#REF!</definedName>
    <definedName name="varJ36" localSheetId="2">#REF!</definedName>
    <definedName name="varJ36" localSheetId="4">#REF!</definedName>
    <definedName name="varJ36">#REF!</definedName>
    <definedName name="varJ37" localSheetId="6">#REF!</definedName>
    <definedName name="varJ37" localSheetId="2">#REF!</definedName>
    <definedName name="varJ37" localSheetId="4">#REF!</definedName>
    <definedName name="varJ37">#REF!</definedName>
    <definedName name="varJ38" localSheetId="6">#REF!</definedName>
    <definedName name="varJ38" localSheetId="2">#REF!</definedName>
    <definedName name="varJ38" localSheetId="4">#REF!</definedName>
    <definedName name="varJ38">#REF!</definedName>
    <definedName name="varJ39" localSheetId="6">#REF!</definedName>
    <definedName name="varJ39" localSheetId="2">#REF!</definedName>
    <definedName name="varJ39" localSheetId="4">#REF!</definedName>
    <definedName name="varJ39">#REF!</definedName>
    <definedName name="varJ40" localSheetId="6">#REF!</definedName>
    <definedName name="varJ40" localSheetId="2">#REF!</definedName>
    <definedName name="varJ40" localSheetId="4">#REF!</definedName>
    <definedName name="varJ40">#REF!</definedName>
    <definedName name="varJ41" localSheetId="6">#REF!</definedName>
    <definedName name="varJ41" localSheetId="2">#REF!</definedName>
    <definedName name="varJ41" localSheetId="4">#REF!</definedName>
    <definedName name="varJ41">#REF!</definedName>
    <definedName name="varJ42" localSheetId="6">#REF!</definedName>
    <definedName name="varJ42" localSheetId="2">#REF!</definedName>
    <definedName name="varJ42" localSheetId="4">#REF!</definedName>
    <definedName name="varJ42">#REF!</definedName>
    <definedName name="varJ43" localSheetId="6">#REF!</definedName>
    <definedName name="varJ43" localSheetId="2">#REF!</definedName>
    <definedName name="varJ43" localSheetId="4">#REF!</definedName>
    <definedName name="varJ43">#REF!</definedName>
    <definedName name="varJ44" localSheetId="6">#REF!</definedName>
    <definedName name="varJ44" localSheetId="2">#REF!</definedName>
    <definedName name="varJ44" localSheetId="4">#REF!</definedName>
    <definedName name="varJ44">#REF!</definedName>
    <definedName name="varJ45" localSheetId="6">#REF!</definedName>
    <definedName name="varJ45" localSheetId="2">#REF!</definedName>
    <definedName name="varJ45" localSheetId="4">#REF!</definedName>
    <definedName name="varJ45">#REF!</definedName>
    <definedName name="varJ46" localSheetId="6">#REF!</definedName>
    <definedName name="varJ46" localSheetId="2">#REF!</definedName>
    <definedName name="varJ46" localSheetId="4">#REF!</definedName>
    <definedName name="varJ46">#REF!</definedName>
    <definedName name="varJ47" localSheetId="6">#REF!</definedName>
    <definedName name="varJ47" localSheetId="2">#REF!</definedName>
    <definedName name="varJ47" localSheetId="4">#REF!</definedName>
    <definedName name="varJ47">#REF!</definedName>
    <definedName name="varJ48" localSheetId="6">#REF!</definedName>
    <definedName name="varJ48" localSheetId="2">#REF!</definedName>
    <definedName name="varJ48" localSheetId="4">#REF!</definedName>
    <definedName name="varJ48">#REF!</definedName>
    <definedName name="varJ49" localSheetId="6">#REF!</definedName>
    <definedName name="varJ49" localSheetId="2">#REF!</definedName>
    <definedName name="varJ49" localSheetId="4">#REF!</definedName>
    <definedName name="varJ49">#REF!</definedName>
    <definedName name="varJ50" localSheetId="6">#REF!</definedName>
    <definedName name="varJ50" localSheetId="2">#REF!</definedName>
    <definedName name="varJ50" localSheetId="4">#REF!</definedName>
    <definedName name="varJ50">#REF!</definedName>
    <definedName name="varJ51" localSheetId="6">#REF!</definedName>
    <definedName name="varJ51" localSheetId="2">#REF!</definedName>
    <definedName name="varJ51" localSheetId="4">#REF!</definedName>
    <definedName name="varJ51">#REF!</definedName>
    <definedName name="varJ52" localSheetId="6">#REF!</definedName>
    <definedName name="varJ52" localSheetId="2">#REF!</definedName>
    <definedName name="varJ52" localSheetId="4">#REF!</definedName>
    <definedName name="varJ52">#REF!</definedName>
    <definedName name="varJ53" localSheetId="6">#REF!</definedName>
    <definedName name="varJ53" localSheetId="2">#REF!</definedName>
    <definedName name="varJ53" localSheetId="4">#REF!</definedName>
    <definedName name="varJ53">#REF!</definedName>
    <definedName name="varJ54" localSheetId="6">#REF!</definedName>
    <definedName name="varJ54" localSheetId="2">#REF!</definedName>
    <definedName name="varJ54" localSheetId="4">#REF!</definedName>
    <definedName name="varJ54">#REF!</definedName>
    <definedName name="varJ55" localSheetId="6">#REF!</definedName>
    <definedName name="varJ55" localSheetId="2">#REF!</definedName>
    <definedName name="varJ55" localSheetId="4">#REF!</definedName>
    <definedName name="varJ55">#REF!</definedName>
    <definedName name="varJ56" localSheetId="6">#REF!</definedName>
    <definedName name="varJ56" localSheetId="2">#REF!</definedName>
    <definedName name="varJ56" localSheetId="4">#REF!</definedName>
    <definedName name="varJ56">#REF!</definedName>
    <definedName name="varJ57" localSheetId="6">#REF!</definedName>
    <definedName name="varJ57" localSheetId="2">#REF!</definedName>
    <definedName name="varJ57" localSheetId="4">#REF!</definedName>
    <definedName name="varJ57">#REF!</definedName>
    <definedName name="varJ58" localSheetId="6">#REF!</definedName>
    <definedName name="varJ58" localSheetId="2">#REF!</definedName>
    <definedName name="varJ58" localSheetId="4">#REF!</definedName>
    <definedName name="varJ58">#REF!</definedName>
    <definedName name="varTableA8Checklist_E" localSheetId="6">#REF!</definedName>
    <definedName name="varTableA8Checklist_E" localSheetId="2">#REF!</definedName>
    <definedName name="varTableA8Checklist_E" localSheetId="4">#REF!</definedName>
    <definedName name="varTableA8Checklist_E">#REF!</definedName>
    <definedName name="varTableA8Checklist_F" localSheetId="6">#REF!</definedName>
    <definedName name="varTableA8Checklist_F" localSheetId="2">#REF!</definedName>
    <definedName name="varTableA8Checklist_F" localSheetId="4">#REF!</definedName>
    <definedName name="varTableA8Checklist_F">#REF!</definedName>
    <definedName name="varTableA8Checklist_I" localSheetId="6">#REF!</definedName>
    <definedName name="varTableA8Checklist_I" localSheetId="2">#REF!</definedName>
    <definedName name="varTableA8Checklist_I" localSheetId="4">#REF!</definedName>
    <definedName name="varTableA8Checklist_I">#REF!</definedName>
    <definedName name="varTableA8Checklist_J" localSheetId="6">#REF!</definedName>
    <definedName name="varTableA8Checklist_J" localSheetId="2">#REF!</definedName>
    <definedName name="varTableA8Checklist_J" localSheetId="4">#REF!</definedName>
    <definedName name="varTableA8Checklist_J">#REF!</definedName>
    <definedName name="varValidPlanAndResults_E" localSheetId="6">#REF!</definedName>
    <definedName name="varValidPlanAndResults_E" localSheetId="2">#REF!</definedName>
    <definedName name="varValidPlanAndResults_E" localSheetId="4">#REF!</definedName>
    <definedName name="varValidPlanAndResults_E">#REF!</definedName>
    <definedName name="varValidPlanAndResults_F" localSheetId="6">#REF!</definedName>
    <definedName name="varValidPlanAndResults_F" localSheetId="2">#REF!</definedName>
    <definedName name="varValidPlanAndResults_F" localSheetId="4">#REF!</definedName>
    <definedName name="varValidPlanAndResults_F">#REF!</definedName>
    <definedName name="varValidPlanAndResults_I" localSheetId="6">#REF!</definedName>
    <definedName name="varValidPlanAndResults_I" localSheetId="2">#REF!</definedName>
    <definedName name="varValidPlanAndResults_I" localSheetId="4">#REF!</definedName>
    <definedName name="varValidPlanAndResults_I">#REF!</definedName>
    <definedName name="varValidPlanAndResults_J" localSheetId="6">#REF!</definedName>
    <definedName name="varValidPlanAndResults_J" localSheetId="2">#REF!</definedName>
    <definedName name="varValidPlanAndResults_J" localSheetId="4">#REF!</definedName>
    <definedName name="varValidPlanAndResults_J">#REF!</definedName>
    <definedName name="varVerifPlanAndResults_E" localSheetId="6">#REF!</definedName>
    <definedName name="varVerifPlanAndResults_E" localSheetId="2">#REF!</definedName>
    <definedName name="varVerifPlanAndResults_E" localSheetId="4">#REF!</definedName>
    <definedName name="varVerifPlanAndResults_E">#REF!</definedName>
    <definedName name="varVerifPlanAndResults_F" localSheetId="6">#REF!</definedName>
    <definedName name="varVerifPlanAndResults_F" localSheetId="2">#REF!</definedName>
    <definedName name="varVerifPlanAndResults_F" localSheetId="4">#REF!</definedName>
    <definedName name="varVerifPlanAndResults_F">#REF!</definedName>
    <definedName name="varVerifPlanAndResults_I" localSheetId="6">#REF!</definedName>
    <definedName name="varVerifPlanAndResults_I" localSheetId="2">#REF!</definedName>
    <definedName name="varVerifPlanAndResults_I" localSheetId="4">#REF!</definedName>
    <definedName name="varVerifPlanAndResults_I">#REF!</definedName>
    <definedName name="varVerifPlanAndResults_J" localSheetId="6">#REF!</definedName>
    <definedName name="varVerifPlanAndResults_J" localSheetId="2">#REF!</definedName>
    <definedName name="varVerifPlanAndResults_J" localSheetId="4">#REF!</definedName>
    <definedName name="varVerifPlanAndResults_J">#REF!</definedName>
  </definedNames>
  <calcPr calcId="191028"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8" i="21" l="1"/>
  <c r="L27" i="21"/>
  <c r="L26" i="21"/>
  <c r="L19" i="21"/>
  <c r="H151" i="21"/>
  <c r="G151" i="21"/>
  <c r="H150" i="21"/>
  <c r="G150" i="21"/>
  <c r="H144" i="21"/>
  <c r="G144" i="21"/>
  <c r="H143" i="21"/>
  <c r="G143" i="21"/>
  <c r="H142" i="21"/>
  <c r="G142" i="21"/>
  <c r="H141" i="21"/>
  <c r="H140" i="21"/>
  <c r="H139" i="21"/>
  <c r="H123" i="21"/>
  <c r="G123" i="21"/>
  <c r="H118" i="21"/>
  <c r="G118" i="21"/>
  <c r="H117" i="21"/>
  <c r="G117" i="21"/>
  <c r="H116" i="21"/>
  <c r="G116" i="21"/>
  <c r="H109" i="21"/>
  <c r="G109" i="21"/>
  <c r="H108" i="21"/>
  <c r="G108" i="21"/>
  <c r="H107" i="21"/>
  <c r="G107" i="21"/>
  <c r="H106" i="21"/>
  <c r="G106" i="21"/>
  <c r="H104" i="21"/>
  <c r="G104" i="21"/>
  <c r="H103" i="21"/>
  <c r="G103" i="21"/>
  <c r="H102" i="21"/>
  <c r="G102" i="21"/>
  <c r="H101" i="21"/>
  <c r="G101" i="21"/>
  <c r="H100" i="21"/>
  <c r="G100" i="21"/>
  <c r="H99" i="21"/>
  <c r="G99" i="21"/>
  <c r="H98" i="21"/>
  <c r="G98" i="21"/>
  <c r="H97" i="21"/>
  <c r="G97" i="21"/>
  <c r="H96" i="21"/>
  <c r="G96" i="21"/>
  <c r="H95" i="21"/>
  <c r="G95" i="21"/>
  <c r="H94" i="21"/>
  <c r="G94" i="21"/>
  <c r="H93" i="21"/>
  <c r="G93" i="21"/>
  <c r="H92" i="21"/>
  <c r="G92" i="21"/>
  <c r="H91" i="21"/>
  <c r="G91" i="21"/>
  <c r="H90" i="21"/>
  <c r="G90" i="21"/>
  <c r="H89" i="21"/>
  <c r="G89" i="21"/>
  <c r="H88" i="21"/>
  <c r="G88" i="21"/>
  <c r="H87" i="21"/>
  <c r="G87" i="21"/>
  <c r="H86" i="21"/>
  <c r="G86" i="21"/>
  <c r="H85" i="21"/>
  <c r="G85" i="21"/>
  <c r="H84" i="21"/>
  <c r="G84" i="21"/>
  <c r="H80" i="21"/>
  <c r="G80" i="21"/>
  <c r="G79" i="21"/>
  <c r="H78" i="21"/>
  <c r="G78" i="21"/>
  <c r="H76" i="21"/>
  <c r="G76" i="21"/>
  <c r="H71" i="21"/>
  <c r="G71" i="21"/>
  <c r="H67" i="21"/>
  <c r="G67" i="21"/>
  <c r="H66" i="21"/>
  <c r="G66" i="21"/>
  <c r="H65" i="21"/>
  <c r="G65" i="21"/>
  <c r="H64" i="21"/>
  <c r="G64" i="21"/>
  <c r="H63" i="21"/>
  <c r="G63" i="21"/>
  <c r="H62" i="21"/>
  <c r="G62" i="21"/>
  <c r="H61" i="21"/>
  <c r="G61" i="21"/>
  <c r="H60" i="21"/>
  <c r="G60" i="21"/>
  <c r="H59" i="21"/>
  <c r="G59" i="21"/>
  <c r="H58" i="21"/>
  <c r="G58" i="21"/>
  <c r="H57" i="21"/>
  <c r="G57" i="21"/>
  <c r="H56" i="21"/>
  <c r="G56" i="21"/>
  <c r="H55" i="21"/>
  <c r="G55" i="21"/>
  <c r="H54" i="21"/>
  <c r="G54" i="21"/>
  <c r="H53" i="21"/>
  <c r="G53" i="21"/>
  <c r="H52" i="21"/>
  <c r="G52" i="21"/>
  <c r="G51" i="21"/>
  <c r="H50" i="21"/>
  <c r="G50" i="21"/>
  <c r="H27" i="21"/>
  <c r="G27" i="21"/>
  <c r="H26" i="21"/>
  <c r="G26" i="21"/>
  <c r="O11" i="21"/>
  <c r="O15" i="21"/>
  <c r="O28" i="21"/>
  <c r="O83" i="21"/>
  <c r="O92" i="21"/>
  <c r="O76" i="21"/>
  <c r="O137" i="21"/>
  <c r="O152" i="21"/>
  <c r="O80" i="21"/>
  <c r="O30" i="21"/>
  <c r="O90" i="21"/>
  <c r="O130" i="21"/>
  <c r="O10" i="21"/>
  <c r="O17" i="21"/>
  <c r="O19" i="21"/>
  <c r="O125" i="21"/>
  <c r="O129" i="21"/>
  <c r="O136" i="21"/>
  <c r="O81" i="21"/>
  <c r="O153" i="21"/>
  <c r="O26" i="21"/>
  <c r="O132" i="21"/>
  <c r="O135" i="21"/>
  <c r="O133" i="21"/>
  <c r="O88" i="21"/>
  <c r="O131" i="21"/>
  <c r="O9" i="21"/>
  <c r="O82" i="21"/>
  <c r="O21" i="21"/>
  <c r="O84" i="21"/>
  <c r="O126" i="21"/>
  <c r="O29" i="21"/>
  <c r="O79" i="21"/>
  <c r="O39" i="21"/>
  <c r="O27" i="21"/>
  <c r="O85" i="21"/>
  <c r="O89" i="21"/>
  <c r="O12" i="21"/>
  <c r="O24" i="21"/>
  <c r="O16" i="21"/>
  <c r="O91" i="21"/>
  <c r="O25" i="21"/>
  <c r="O134" i="21"/>
  <c r="O14" i="21"/>
  <c r="O87" i="21"/>
  <c r="O78" i="21"/>
  <c r="O127" i="21"/>
  <c r="O128" i="21"/>
  <c r="O138" i="21"/>
  <c r="O77"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tc={ED0729ED-D9AA-45BF-8B4B-41264209A604}</author>
  </authors>
  <commentList>
    <comment ref="R8" authorId="0" shapeId="0" xr:uid="{ED0729ED-D9AA-45BF-8B4B-41264209A604}">
      <text>
        <t>[Threaded comment]
Your version of Excel allows you to read this threaded comment; however, any edits to it will get removed if the file is opened in a newer version of Excel. Learn more: https://go.microsoft.com/fwlink/?linkid=870924
Comment:
    Impact Analysis is required only for PCA. These columns are not updated for next gates, milestones.</t>
      </text>
    </comment>
  </commentList>
</comments>
</file>

<file path=xl/sharedStrings.xml><?xml version="1.0" encoding="utf-8"?>
<sst xmlns="http://schemas.openxmlformats.org/spreadsheetml/2006/main" count="2547" uniqueCount="1148">
  <si>
    <t>Scope</t>
  </si>
  <si>
    <t xml:space="preserve">The  purpose of this document is to define the project-independent tailoring of ISO 26262 Work Products for a Safety Element out of Context (SEooC) HW or SW component development, as well as provide the template for the safety case              </t>
  </si>
  <si>
    <t>Template information</t>
  </si>
  <si>
    <t xml:space="preserve">Document name  </t>
  </si>
  <si>
    <t xml:space="preserve">Version </t>
  </si>
  <si>
    <t>Author</t>
  </si>
  <si>
    <t>Comments / Changes</t>
  </si>
  <si>
    <t>Approver</t>
  </si>
  <si>
    <t>Date</t>
  </si>
  <si>
    <t>Status</t>
  </si>
  <si>
    <t>Safety_Plan_Work_Products_Tailoring</t>
  </si>
  <si>
    <t>V0</t>
  </si>
  <si>
    <t>Mathieu Blazy-Winning</t>
  </si>
  <si>
    <t>Initial version for Knox confirmation reviews</t>
  </si>
  <si>
    <t>None</t>
  </si>
  <si>
    <t>Obsolete</t>
  </si>
  <si>
    <t>ISO26262_Work_Products_Tailoring_V1</t>
  </si>
  <si>
    <t>V1</t>
  </si>
  <si>
    <t xml:space="preserve">Changed document name as will now be used both for safety plan and safety case.
Major changes to prepare for Panther assessment and align with all current processes
</t>
  </si>
  <si>
    <t>ISO26262_MCU_Work_Products_Tailoring_V1.1</t>
  </si>
  <si>
    <t>V1.1</t>
  </si>
  <si>
    <t>Updated following Panther confirmation review findings</t>
  </si>
  <si>
    <t>ISO26262_Work_Products_Tailoring_MCU_V1.2</t>
  </si>
  <si>
    <t>V1.2</t>
  </si>
  <si>
    <t>Updated name</t>
  </si>
  <si>
    <t>ISO26262_Work_Products_Tailoring_MCU_V1.3</t>
  </si>
  <si>
    <t>V1.3</t>
  </si>
  <si>
    <t>Updated DFA entries to reflect current methodology - Beta IC Factor in FMEDA and summary report included in FMEDA Report.</t>
  </si>
  <si>
    <t>Approval through creation and review of project Safety Plans from this template, including confirmation reviews. See QMS System.</t>
  </si>
  <si>
    <t>ISO26262_MCU_Safety_Case_V1.4</t>
  </si>
  <si>
    <t>V1.4</t>
  </si>
  <si>
    <t>Incorporated improvements from Panther and Racerunner projects based on safety case development. Changed name to ISO26262 MCU Safety Case and updated scope defition accordingly.</t>
  </si>
  <si>
    <t>ISO26262_MCU_Safety_Case</t>
  </si>
  <si>
    <t>V1.5</t>
  </si>
  <si>
    <t>Added generation guideline tab</t>
  </si>
  <si>
    <t>V1.6</t>
  </si>
  <si>
    <t>Updated with improvements from Matterhorn and Racerunner projects, including:
Added DEVICE_NUMBER, PROJECT_NAME attributes
Colored background of safety case items to fill in yellow
Added Tool Suitability Report document
Update Generation Guideline
Made other minor updates / corrections</t>
  </si>
  <si>
    <t>V1.7</t>
  </si>
  <si>
    <t>Updated to fix finding from Rainier Safety Plan CR. Changed column M from Revision to Location. Updated Guideline to note to use latest version of process / template when creating project deliverable.</t>
  </si>
  <si>
    <t>ISO 26262 - Safety_Case</t>
  </si>
  <si>
    <t>V2.0</t>
  </si>
  <si>
    <t>First update to align with BCaM7 and NXP way of working.
Updated Template Info, Document Info &amp; ISO 26262 Safety Case tab.
On ISO 26262 Safety Case tab, updated column G to P and V-W</t>
  </si>
  <si>
    <t>V2.1</t>
  </si>
  <si>
    <t>Clemens Roettgermann</t>
  </si>
  <si>
    <t>(1) WebNPI replaced through Sciforma
(2) project specific links partially adapted to sync://sync-19808:19808/Projects/msg_safety/safety_central/TBD which shall be repository for 16FFC safety deliverables
However those links need to be prepared project specific anyway</t>
  </si>
  <si>
    <t>V2.2</t>
  </si>
  <si>
    <t>BCaM7 phase 1 release. Minimal changes to align with BCaM7 phase 1 and safety plan v1.8. 
Updated guideline to tailor out SW part 6 for HW developments.</t>
  </si>
  <si>
    <t>V2.3</t>
  </si>
  <si>
    <r>
      <t>started to updated template references into sync://sync-19808:19808/Projects/msg_safety/safety_central/safety_flow/Templates by using the variable</t>
    </r>
    <r>
      <rPr>
        <b/>
        <sz val="11"/>
        <color theme="1"/>
        <rFont val="Calibri"/>
        <family val="2"/>
        <scheme val="minor"/>
      </rPr>
      <t xml:space="preserve"> dsscTemplates
</t>
    </r>
    <r>
      <rPr>
        <sz val="11"/>
        <color theme="1"/>
        <rFont val="Calibri"/>
        <family val="2"/>
        <scheme val="minor"/>
      </rPr>
      <t>started to updated NPI specific references into sync://sync-19808:19808/Projects/msg_safety/safety_central/project_data/S32G17X by using the variable</t>
    </r>
    <r>
      <rPr>
        <b/>
        <sz val="11"/>
        <color theme="1"/>
        <rFont val="Calibri"/>
        <family val="2"/>
        <scheme val="minor"/>
      </rPr>
      <t xml:space="preserve"> dsscProjRoot
</t>
    </r>
    <r>
      <rPr>
        <sz val="11"/>
        <color theme="1"/>
        <rFont val="Calibri"/>
        <family val="2"/>
        <scheme val="minor"/>
      </rPr>
      <t xml:space="preserve">the project specifc example entries come from intermediate S32G17X safety case version V1.4.
</t>
    </r>
  </si>
  <si>
    <t>start point for next cleanup as planned by Aarul</t>
  </si>
  <si>
    <t>V2.4</t>
  </si>
  <si>
    <t>Aarul Jain</t>
  </si>
  <si>
    <t xml:space="preserve">1. Created a project specific deliverables tab where Safety managers will enter the deliverables.
2. Created a macro that will copy the contents of "Project Specific Deliverables" into the respective cells in "ISO 26262 Safety Case".
3. Several Deliverables corresponding to requirements referred to QMS. Row number 77 earlier referred to PE workflow. Now it just refers to QMS (assuming it is understood that PE caters to NPI Quality). Similarly Row number 85 referred to Functional and Analog validation checklist. Now it just refers to QMS (assuming it is understood that Hardware integration and testing report is catered by the corresponding flow.). In short, all items referring to any specific QMS or in general QMS in "ISO 26262 Safety Case" will now be copied from a single row from "Project Specific Deliverables".
4. Guidelines for the new safety case updated.
5. Updated non project specific deliverables in "ISO 26262 Safety Case" based on RRUltra Safety Case (which was recently audited).
6. Made minor modifications in order to ensure a user does not have to edit ISO 26262 Safety Case. For example, safety argument for incremental cut is moved to "project specific" as a single cell which shall contain detailed report of safety workproducts impacted.
7. Changed “Project Plan” to “Project and Resource plan”. There was this additional entry in Racerunner Safety Case.
8. Changed “Assessment Planning” to “Assessment Tracer”. We already had an entry of Assessment Plan and so this is more of a clarification what this entry represents.
9. Changed “Orderable part numbers from PPAP” to “Orderable part numbers from datasheet”. This was a feedback from Eric.
10. Added entries in Column A to D, in the project specific deliverables to provide us guidance on what to fill and when to fill and who to ask for inputs.
11. Added Global Project Change Management Policy in partial fulfillment for the CCB requirements.
12. Added safety arguments for the missing ones.
</t>
  </si>
  <si>
    <t>Not applicable</t>
  </si>
  <si>
    <t>V2.5</t>
  </si>
  <si>
    <t>1. Created variables in ISO26262 Safety Case to make the copy macro portable. This will enable easy insertion of additional items in the ISO 26262  Safety Case.
2. Added QMS as Evidence for Part 2:5.5.1
3. Added Table A8 Checklist, Datasheet, Errata Impact Analysis for Part 5: 7.5.1 and corresponding enteries in "Project specific deliverables"
4. Modified entry of MCU HW Safety Requirements for Part5:10.5 to Review record of MCU HW Safety Requirements as this pertains to hardware integration and testing report.</t>
  </si>
  <si>
    <t>V2.6</t>
  </si>
  <si>
    <t>1. Fixed TKT347331: Updated cell Z172 in "ISO 26262 Safety Case" to "='Project Specific Deliverables'!$I$62" instead of “Non-project specific deliverable”.
2. Fixed TKT346892: Updated the general policy documents links to point to updated location in OMS. 
 Updated the "Project Specific Deliverables" sheet to add "Verification Plan and Results" and "Validation Plan and Results" at Row 36 and 37. Also updated the macro to enable copying of the data from "Project Specific Deliverables" to "ISO 26262 Safety Case".
3. Added Generation Guidelines on some considerations to take while updating the Safety Case.</t>
  </si>
  <si>
    <t>V2.7</t>
  </si>
  <si>
    <t xml:space="preserve">Draft release as input to BCaM7 team for further review. Intent is for safety case template to be used by all BU Auto. Added full tailoring options for HW SEooC, SW SEooC, ASIL A, ASIL B, Impact Analysis &amp; Customer DIA. Added tabs for AAA, IDA &amp; SEN Deliverables. Macros will need to be updated so that generation works again. </t>
  </si>
  <si>
    <t>Safety_Case template</t>
  </si>
  <si>
    <t>V2.8</t>
  </si>
  <si>
    <t>Updated to align with BCaM7 phase 3 release. Addressed TUV feedback from 3rd Nov review meeting.</t>
  </si>
  <si>
    <t>V2.9</t>
  </si>
  <si>
    <t>Updated to for BCaM7 phase 3 release to address TUV Sud feedback.</t>
  </si>
  <si>
    <t>V3.0</t>
  </si>
  <si>
    <t>Added functional safety audit report template reference</t>
  </si>
  <si>
    <t>V3.1</t>
  </si>
  <si>
    <t>Tailored out 8.12 SW Component Qualification, updated tailoring rationale.</t>
  </si>
  <si>
    <t>Auto BCaM7 Safety Case</t>
  </si>
  <si>
    <t>V3.2</t>
  </si>
  <si>
    <t>Coco Gubbels</t>
  </si>
  <si>
    <t>Changed name in order to align with other BCaM7 templates</t>
  </si>
  <si>
    <t>AMP_SW_Safety_Case_Template</t>
  </si>
  <si>
    <t>V3.3</t>
  </si>
  <si>
    <t>Cosmin Gogoasa</t>
  </si>
  <si>
    <t>Added Release type_release version sheet
Added the column "Reference to Release type_release version" in ISO 26262 Safety Case sheet</t>
  </si>
  <si>
    <t>V4.0</t>
  </si>
  <si>
    <t>Reviewed and Approved: CR-ASP-30</t>
  </si>
  <si>
    <t>V4.1</t>
  </si>
  <si>
    <t xml:space="preserve">Added the Sign Off Checklist sheet
Small updates in the Release type_Release version sheet and ISO 26262 Safety Case sheet
Small updates in the Work instruction sheet
Added process plans in ISO 26262 Safety case sheet; 
Added reference between Release type_release version sheet and Sign Off Checklist sheet
</t>
  </si>
  <si>
    <t>V4.2</t>
  </si>
  <si>
    <t xml:space="preserve">Updated with the feedback received from the team
</t>
  </si>
  <si>
    <t>V4.3</t>
  </si>
  <si>
    <t>V4.4</t>
  </si>
  <si>
    <t>Sarka Lojkaskova</t>
  </si>
  <si>
    <t xml:space="preserve">Updated with BCaM7 Gates filters, Sign-Off Checklist CI formulas (test on SCST_M7_S32K2XX_EAR_0.8.0)
</t>
  </si>
  <si>
    <t>Safety Manager (Martin Vlk)</t>
  </si>
  <si>
    <t>V4.6</t>
  </si>
  <si>
    <t xml:space="preserve">Updated with BCaM7 Gates filters, Sign-Off Checklist CI formulas
</t>
  </si>
  <si>
    <t>V5.1</t>
  </si>
  <si>
    <t>V6.0</t>
  </si>
  <si>
    <t>AP_SW_Safety_Case_Template</t>
  </si>
  <si>
    <t>V7.0</t>
  </si>
  <si>
    <t xml:space="preserve">Added the Components sheet; Aligned the deliverables from CIB_Deliverables sheet with AMD checklist and with BCaM7 Compliance report; Added the gates and major milestones in CIB_Deliverables sheet; Aligned the ISO 26262 Safety Case sheet with the latest ISO 26262 standard version; Added the Security deliverables; Added two additional safety deliverables; 
</t>
  </si>
  <si>
    <t>Approval through crucible review (CR-ASP-99)</t>
  </si>
  <si>
    <t>Released</t>
  </si>
  <si>
    <t>V8.0</t>
  </si>
  <si>
    <t>Eugenia Neacsa</t>
  </si>
  <si>
    <t>Added Impact Analysis - PCA section in CIB_Deliverables .
Added changes done in latest version of  Configuration Items Plan and Report.</t>
  </si>
  <si>
    <t>Approval through crucible review (CR-ASP-149)</t>
  </si>
  <si>
    <t>Remark</t>
  </si>
  <si>
    <t xml:space="preserve">Document Template (Draft) location: https://nxp1.sharepoint.com/:f:/s/ampswqualitygroup/EovpFQKiNI5IsR_wYzSFGRABQHcScEkrgnLNNqiJxellNg?e=eBYE3U </t>
  </si>
  <si>
    <r>
      <rPr>
        <u/>
        <sz val="10"/>
        <rFont val="Calibri"/>
        <family val="2"/>
        <scheme val="minor"/>
      </rPr>
      <t>Status can be:</t>
    </r>
    <r>
      <rPr>
        <sz val="10"/>
        <rFont val="Calibri"/>
        <family val="2"/>
        <scheme val="minor"/>
      </rPr>
      <t xml:space="preserve"> 
 - Obsolete
 - Draft
 - Released</t>
    </r>
  </si>
  <si>
    <t xml:space="preserve">The purpose of this document is to define the tailoring of ISO 26262 Work Products for a Safety Element out of Context (SEooC) HW or SW component development in conjunction with the safety plan, as well as progressively compile the deliverables generated during the safety lifecycle which form the safety case           </t>
  </si>
  <si>
    <t>Document information</t>
  </si>
  <si>
    <t>Document shall be saved as: xxxxx Safety Case
xxxxx is the project name(device part number e.g. MPC5744P)</t>
  </si>
  <si>
    <r>
      <rPr>
        <i/>
        <u/>
        <sz val="9"/>
        <rFont val="Calibri"/>
        <family val="2"/>
        <scheme val="minor"/>
      </rPr>
      <t>Status can be:</t>
    </r>
    <r>
      <rPr>
        <i/>
        <sz val="9"/>
        <rFont val="Calibri"/>
        <family val="2"/>
        <scheme val="minor"/>
      </rPr>
      <t xml:space="preserve"> 
 - Obsolete
 - Draft
 - Released</t>
    </r>
  </si>
  <si>
    <t xml:space="preserve">Hide "Template info" tab when creating the document </t>
  </si>
  <si>
    <t>ISO 26262 Safety Case</t>
  </si>
  <si>
    <t>SEooC</t>
  </si>
  <si>
    <t>SW</t>
  </si>
  <si>
    <t>Silicon Rev:</t>
  </si>
  <si>
    <t>N/A</t>
  </si>
  <si>
    <t>Configuration Item Baseline</t>
  </si>
  <si>
    <t>ASIL</t>
  </si>
  <si>
    <t>Mask Set:</t>
  </si>
  <si>
    <t>ISO 26262 Work Products</t>
  </si>
  <si>
    <t>NXP BU Automotive Process</t>
  </si>
  <si>
    <t>Project Deliverables</t>
  </si>
  <si>
    <t>Project Independent Tailoring</t>
  </si>
  <si>
    <t>Project Tailoring</t>
  </si>
  <si>
    <t>Part</t>
  </si>
  <si>
    <t>Objectives</t>
  </si>
  <si>
    <t>Clause</t>
  </si>
  <si>
    <t>Work-Product</t>
  </si>
  <si>
    <t>Applicable</t>
  </si>
  <si>
    <t>Rationale</t>
  </si>
  <si>
    <t>Process</t>
  </si>
  <si>
    <t>Safety Argument</t>
  </si>
  <si>
    <t>Deliverable</t>
  </si>
  <si>
    <t>Reference to document Release Version / Relese Type, Location</t>
  </si>
  <si>
    <t>2 - Functional safety Management</t>
  </si>
  <si>
    <t>Overall Safety Management</t>
  </si>
  <si>
    <t>The intent of this clause is to ensure the organizations involved in the execution of the safety lifecycle, i.e. those that are responsible for the safety lifecycle or are performing safety activities in the safety lifecycle, achieve the following objectives:
a) to institute and maintain a safety culture
b) to institute and maintain adequate organization-specific rules and processes for functional safety
c) to institute and maintain processes to ensure an adequate resolution of identified safety anomalies
d) to institute and maintain a competence management system
e) to institute and maintain a quality management system to support functional safety
This clause serves as a prerequisite to the activities in the ISO 26262 safety lifecycle.</t>
  </si>
  <si>
    <t>2-5.5.1</t>
  </si>
  <si>
    <t>Organization specific rules and processes for functional safety</t>
  </si>
  <si>
    <t>Yes</t>
  </si>
  <si>
    <t>Standard Automotive development process, with addition of specific rules and processes for functional safety. Scope is for HW or SW component development (i.e. not system or item)</t>
  </si>
  <si>
    <t>Automotive Research and Development Policies
Automotive Research and Development Manual
Automotive Functional Safety Management Procedure
Automotive Functional Safety Analysis Procedure
Automotive Functional Safety Assessment Procedure
Automotive Functional Safety Tool Compliance Procedure
Automotive Master Checklist (AMC)
Automotive Master Deliverables (AMD)
Automotive Program Management Procedure
Automotive Process and Product Quality Assurance Procedure
Automotive SoC Design Procedure
Automotive IP Design Procedure
Automotive Software Procedure
Automotive Verification Procedure
Automotive Validation Procedure
Automotive Configuration Management Procedure
Automotive Supplier Management Procedure</t>
  </si>
  <si>
    <t xml:space="preserve">The BU Automotive BCaM7 development policies, procedures &amp; process are updated to include all functional rules and processes which are to be followed during the development of HW or SW components.
</t>
  </si>
  <si>
    <t xml:space="preserve">AP SW Process Baseline include: AP Software Development, AP Software Change Configuration Management and Reviews, AP Software Metrics Program, AP Software Open Source, AP Software Process Governance and Tailoring, AP Software Program and Project Management Plan, AP Software Quality Assurance, AP Software Release Management, AP Software Requirements Engineering, AP Software Risk Management, AP Software Safety Management, AP Software Security Process, AP Software Supplier Management,  AP Software Testing, AP Software Training </t>
  </si>
  <si>
    <t>AP SW Process</t>
  </si>
  <si>
    <t>2-5.5.2</t>
  </si>
  <si>
    <t>Evidence of competence</t>
  </si>
  <si>
    <t>Scope is for HW or SW component development (i.e. not system or item)</t>
  </si>
  <si>
    <t>Competency Matrix contains the skill level required for a role and the actual skill level. The skills are evaluated each year, beginner of the year, middle and end year. Skill list contains safety specific skills. The skills are improved through training and on -the-job experience. &lt;Project Name&gt;  team members are trained for AP  Auto SW processes, ISO 26262 standard and SW safety related rules.</t>
  </si>
  <si>
    <t>Competence Matrix and Training Plan</t>
  </si>
  <si>
    <t>2-5.5.3</t>
  </si>
  <si>
    <t>Evidence of quality management</t>
  </si>
  <si>
    <t>Standard Automotive development process. Scope is for HW or SW component development (i.e. not system or item)</t>
  </si>
  <si>
    <t>Quality Certificates</t>
  </si>
  <si>
    <t>ISO 9001 Certificate
IATF 16949 Certificate</t>
  </si>
  <si>
    <t>ISO 9001 Certificate &amp; IATF 16949 Certificate</t>
  </si>
  <si>
    <t>2-5.5.4</t>
  </si>
  <si>
    <t>Identified safety anomaly reports, if applicable</t>
  </si>
  <si>
    <t>yes</t>
  </si>
  <si>
    <t>Automotive Configuration Management Procedure</t>
  </si>
  <si>
    <t>Regular notification are sent to Safety Manager highlighting if any defect affecting Safety SW products is raised in Defect Tracking System.</t>
  </si>
  <si>
    <t>Safety Features Impacted report</t>
  </si>
  <si>
    <t>Project dependent safety management</t>
  </si>
  <si>
    <t>The first objective of this clause is to:
a) define roles and responsibilities, regarding safety activities
b) to perform an impact analysis at the item level
c) to perform an impact analysis at the element level 
NOTE An impact analysis at the item or element level can support the planning of the safety activities (see 6.4.6.7).
d) to define the tailored safety activities
e) to plan the safety activities
f) to coordinate and track the progress of the safety activities﻿
g) to plan the distributed developments
h) to ensure a correct progression of the safety activities
i) to create a comprehensible safety case
j) to judge whether the item achieves functional safety (i.e. the functional safety assessment), or to judge the contribution to the achievement of functional safety concerning an element (i.e. the functional safety 
assessment activities performed by a supplier) or work product (e.g. a confirmation review)
k) to decide at the end of development whether the item, or element(s), can be released for production</t>
  </si>
  <si>
    <t>2.6.5.1</t>
  </si>
  <si>
    <t>Impact analysis at the item level</t>
  </si>
  <si>
    <t>No</t>
  </si>
  <si>
    <t>Out of scope for  HW or SW component development (i.e. not system or item). This will be completed by the Item and System developer</t>
  </si>
  <si>
    <t>Out of scope for SW development</t>
  </si>
  <si>
    <t>2.6.5.2</t>
  </si>
  <si>
    <t>Impact analyses at element level</t>
  </si>
  <si>
    <t>Applied to HW or SW SEooC to define process tailoring if any based on modification or reuse of existing elements</t>
  </si>
  <si>
    <t>Impact Analysis Template</t>
  </si>
  <si>
    <t>Document summarizing the product difference from previous baseline. It contains all aspects including safety related and non-safety</t>
  </si>
  <si>
    <t>Impact Analysis</t>
  </si>
  <si>
    <r>
      <rPr>
        <sz val="10"/>
        <rFont val="Calibri"/>
        <family val="2"/>
        <scheme val="minor"/>
      </rPr>
      <t>2.6.5.3</t>
    </r>
  </si>
  <si>
    <t>Safety plan</t>
  </si>
  <si>
    <t>HW: Automotive HW Safety Plan Template
SW: Automotive SW Project Management Plan (Safety Plan) Template
Safety Assessment Plan Template</t>
  </si>
  <si>
    <t>The Safety Plan outlines the roles and responsibilities for functional safety over the entire safety lifecycle, as well as all processes to achieve the functional safety objectives of the HW/SW
The AMD AMC Tracker system includes all deliverables and activities required for functional safety and is used to plan and monitor the safety activities during the development phase of the project, including the execution of confirmation measures. The AMD AMC Tracker System is aligned to the overall safety lifecycle (NPI Process for NXP) and each phase of the project is gated by the successful completion. The Tracker system also provides resource assignment of lead project roles.
The ISO 26262 Safety Case (This document) provides the detailed Safety Plan on work product level as well as the detailed Safety Case on Work Product level. The Safety Case Archive provides an archive of all the key safety related documentation which is associated with the project. The archive is stored in the design database to facilitate data retrieval at a later date.
The ISO 26262 Functional Safety Assessment process outlines NXP's functional safety assessment processes, including confirmation reviews, audit and assessment.</t>
  </si>
  <si>
    <t>Safety Plan (Project Management Plan) is applicable for this project and contains project stakeholders, project communication and escalation path, project milestones, dependencies and project deliverables. The safety plan contains a detailed description of the project safety related activities, deliverables, roles, verification plans. ISO 26262 project tailoring strategy is included in the Safety plan.</t>
  </si>
  <si>
    <t>SW Project Management Plan 
Note: Included in Safety Plan for safety products.</t>
  </si>
  <si>
    <t>2-6.5.4</t>
  </si>
  <si>
    <t>Safety case</t>
  </si>
  <si>
    <t>Safety Case evidence and argumentation is for HW or SW component development (i.e. out of context from end system and item)</t>
  </si>
  <si>
    <t xml:space="preserve"> Automotive HW/SW Safety Case Template</t>
  </si>
  <si>
    <t>Safety Case (this document) provides the mapping between ISO26262 requirements and project deliverable and Automotive SW processes.</t>
  </si>
  <si>
    <t>SW Safety Case</t>
  </si>
  <si>
    <t>2-6.5.5</t>
  </si>
  <si>
    <t>Confirmation measure reports</t>
  </si>
  <si>
    <t>Required for ASIL A, B, C &amp; D</t>
  </si>
  <si>
    <t>Automotive Confirmation Review Impact Analysis Template</t>
  </si>
  <si>
    <t>Confirmation Review Impact Analysis is planned in PDA phase.</t>
  </si>
  <si>
    <t>SW ISO26262 Confirmation Reviews</t>
  </si>
  <si>
    <t>HaRa is Out of scope for  HW or SW component development (i.e. not system or item). This will be completed by the Item and System developer</t>
  </si>
  <si>
    <t>Automotive Confirmation Review Safety Plan Template</t>
  </si>
  <si>
    <t xml:space="preserve">Report containing ISO26262 Safety Plan Confirmation Review result, rating, findings and action plan. </t>
  </si>
  <si>
    <t>Functional Safety Concept is Out of scope for  HW or SW component development (i.e. not system or item). This will be completed by the Item and System developer</t>
  </si>
  <si>
    <t>Automotive Confirmation Review Technical Safety Concept</t>
  </si>
  <si>
    <t>Confirmation Review of Technical Safety Concept is planned in PPA phase.</t>
  </si>
  <si>
    <t>Integration and test strategy is Out of scope for  HW or SW component development (i.e. not system or item). This will be completed by the Item and System developer</t>
  </si>
  <si>
    <t>Safety Validation Specification is Out of scope for  HW or SW component development (i.e. not system or item). This will be completed by the Item and System developer</t>
  </si>
  <si>
    <t>Automotive Confirmation Review SafetyAnalysis Template</t>
  </si>
  <si>
    <t xml:space="preserve">Report containing ISO26262 Safety Analysis Confirmation review  result, rating, findings and action plan. </t>
  </si>
  <si>
    <t>Automotive Confirmation Review Safety Case Template</t>
  </si>
  <si>
    <t xml:space="preserve">Report containing ISO26262 Safety Case Confirmation review  result, rating, findings and action plan. </t>
  </si>
  <si>
    <t>Automotive Safety Assessment Support Template</t>
  </si>
  <si>
    <t xml:space="preserve">Report containing ISO26262 Safety Assessment Support Confirmation review  result, rating, findings and action plan. </t>
  </si>
  <si>
    <t>SW Functional Safety Assessment Report -  not required for the current gate but as per the AMP SW Audit Plan.</t>
  </si>
  <si>
    <t>Automotive Safety Audit Report Template</t>
  </si>
  <si>
    <t xml:space="preserve">Report containing ISO26262 Safety Audit Confirmation review  result, rating, findings and action plan. </t>
  </si>
  <si>
    <t>SW Functional Safety Audit Report (TUV SGS BU Auto Certification) - not required for the current gate but as per the AMP SW Audit Plan.</t>
  </si>
  <si>
    <t>Safety Assessment  of HW or SW component development covering the assessment of work products, process to implement functional safety &amp; safety measures used.</t>
  </si>
  <si>
    <t>Automotive Safety Assessment Report Template</t>
  </si>
  <si>
    <t xml:space="preserve">Report containing ISO26262 Safety Assessment Report Confirmation review  result, rating, findings and action plan. </t>
  </si>
  <si>
    <t>2-6.5.6</t>
  </si>
  <si>
    <t>Release for production report</t>
  </si>
  <si>
    <t>Standard Automotive Release for production process of HW or SW component (i.e. not system or item) - with the addition of Safety Case and Functional Safety Assessment report gating release for production</t>
  </si>
  <si>
    <t>HW: Product Part Approval Process (PPAP)
SW: Release Readiness Report</t>
  </si>
  <si>
    <r>
      <t xml:space="preserve">The PPAP includes a summary report of the qualification test results and its publication is gated by the successful completion of the qualification testing and overall production readiness.
</t>
    </r>
    <r>
      <rPr>
        <b/>
        <i/>
        <sz val="10"/>
        <rFont val="Calibri"/>
        <family val="2"/>
        <scheme val="minor"/>
      </rPr>
      <t>Note:</t>
    </r>
    <r>
      <rPr>
        <i/>
        <sz val="10"/>
        <rFont val="Calibri"/>
        <family val="2"/>
        <scheme val="minor"/>
      </rPr>
      <t xml:space="preserve"> The status of functional safety activities at time of qualification CAB are captured in the Safety Risk Assessment, including the recommendation to accept, conditionally accept or reject moving to production.  Any outstanding activities are risk assessed and tracked to closure (risk analysis part of CAB documentation, open items tracked to closure in CAB action item). </t>
    </r>
  </si>
  <si>
    <t>Release for product report contains the result of the release from quality assurance perspective.</t>
  </si>
  <si>
    <t>Release Readiness Report (inc. check of acceptance criteria) - included in this document</t>
  </si>
  <si>
    <t>Safety management regarding production, operation, service and decommissioning</t>
  </si>
  <si>
    <t>The objective of this clause is to define the responsibilities of the organizations and persons responsible for achieving and maintaining functional safety regarding production, operation, service and decommissioning.</t>
  </si>
  <si>
    <t>2-7.5.1</t>
  </si>
  <si>
    <t>Evidence of safety management regarding production, operation, service and decommissioning</t>
  </si>
  <si>
    <t>Standard Automotive field monitoring process for  HW or SW component - with addition of safety impact analysis during field return analysis</t>
  </si>
  <si>
    <t>Handling and Management of Customer Complaints</t>
  </si>
  <si>
    <t>Standard Automotive field monitoring process for HW (component) - with addition of safety impact analysis during field return analysis. Further details on production processes are provided through the ISO 26262 Work Products in Part 7.</t>
  </si>
  <si>
    <t xml:space="preserve">These documents contain the configuration management strategy, change management including the customers complaints rules applicable for this  project, CM and CHM roles and configuration management tools and change management tools .
</t>
  </si>
  <si>
    <t>3 - Concept Phase</t>
  </si>
  <si>
    <t>Item definition</t>
  </si>
  <si>
    <t>The first objective is to define and describe the item, its dependencies on, and interaction with, the environment and other items.
The second objective is to support an adequate understanding of the item so that the activities in subsequent phases can be performed.</t>
  </si>
  <si>
    <t>3-5.5.1</t>
  </si>
  <si>
    <t>Item Definition</t>
  </si>
  <si>
    <t>Hazard analysis and risk assessment</t>
  </si>
  <si>
    <t>The objective of the hazard analysis and risk assessment is to identify and to classify the hazardous events caused by malfunctioning behaviour of the item; and
b) to formulate the safety goals with their corresponding ASILs related to the prevention or mitigation of the hazardous events, in order to avoid unreasonable risk.</t>
  </si>
  <si>
    <t>3-6.5.1</t>
  </si>
  <si>
    <t>Hazard analysis and risk assessment report</t>
  </si>
  <si>
    <t>3-6.5.2</t>
  </si>
  <si>
    <t>Verification review report of hazard analysis and risk assessment</t>
  </si>
  <si>
    <t>Functional safety Concept</t>
  </si>
  <si>
    <t>The objective of the functional safety concept is to derive the functional safety requirements, from the safety goals, and to allocate them to the preliminary architectural elements of the item, or to external measures.</t>
  </si>
  <si>
    <t>3-7.5.1</t>
  </si>
  <si>
    <t>Functional safety concept</t>
  </si>
  <si>
    <t>3-7.5.2</t>
  </si>
  <si>
    <t xml:space="preserve">Verification report of the functional safety concept </t>
  </si>
  <si>
    <t>Technical Safety Concept</t>
  </si>
  <si>
    <t>The objectives of this part are:
a) to specify technical safety requirements regarding the functionality, dependencies, constraints and properties of the system elements and interfaces needed for their implementation.
b) to specify technical safety requirements regarding the safety mechanisms to be implemented in the system elements and interfaces.
c) to specify requirements regarding the functional safety of the system and its elements during production, operation, service and decommissioning.
d) to verify that the technical safety requirements are suitable to achieve functional safety at the system level and are consistent with the functional safety requirements.
e) to develop a system architectural design and a technical safety concept that satisfy the safety requirements and that are not in conflict with the non-safety-related requirements
f) to analyse the system architectural design in order to prevent faults and to derive the necessary safety-related special characteristics for production and service.
g) to verify that the system architectural design and the technical safety concept are suitable to satisfy the safety requirements according to their respective ASIL.</t>
  </si>
  <si>
    <t>4-6.5.1</t>
  </si>
  <si>
    <t>Technical safety requirements specification</t>
  </si>
  <si>
    <t>Defines the ASIL capability of the HW or SW component and system level assumptions</t>
  </si>
  <si>
    <t>Automotive Requirements Engineering Procedure 
(Safety Concept RS)</t>
  </si>
  <si>
    <t>The HW Safety Context defines the top most safety requirements and assumptions for the HW to achieve the target ASIL developed as a Safety Element out of Context (SEooC). Assumptions Published in Safety Manual.</t>
  </si>
  <si>
    <t>Not applicable for this SW product. Not applicable to SEooC development.</t>
  </si>
  <si>
    <t>4-6.5.2</t>
  </si>
  <si>
    <t xml:space="preserve">Technical safety concept </t>
  </si>
  <si>
    <t xml:space="preserve">Defines how the HW or SW component ASIL targets will be achieved between a mix of in component safety measures and system level safety measures (HW/SW) - assumptions
</t>
  </si>
  <si>
    <t>Automotive Requirements Engineering Procedure 
(Safety Concept RS and/or AS)</t>
  </si>
  <si>
    <t>The HW Safety Concept refines HW Safety Context requirements to define the safety requirements and assumptions for the HW Safety Concept to achieve the target ASIL developed as a Safety Element out of Context (SEooC). Assumptions Published in Safety Manual.</t>
  </si>
  <si>
    <t>Safety Software contains the following information: software element definition, safety related faults, implicit safety requirement, external assumptions, safety roles amd safety measures descriptions.</t>
  </si>
  <si>
    <t>SW Safety Concept</t>
  </si>
  <si>
    <t>4-6.5.3</t>
  </si>
  <si>
    <t>System architectural design specification</t>
  </si>
  <si>
    <t>4-6.5.4</t>
  </si>
  <si>
    <t xml:space="preserve">Hardware software interface specification (HSI) </t>
  </si>
  <si>
    <t>Out of scope for HW or SW SEooC component development (i.e. not system). This will be performed by the System developer. NXP enables the system developer to perform the system level HSI using HW Reference Manual, HW Data Sheet, HW &amp; SW Safety Manuals &amp; SW User Manual.</t>
  </si>
  <si>
    <t>4-6.5.5</t>
  </si>
  <si>
    <t>Specification of requirement for production, operation, service and decommissioning</t>
  </si>
  <si>
    <t>4-6.5.6</t>
  </si>
  <si>
    <t>Verification report for system architectural design, the hardware-software interface (HSI) specification, the specification of requirements for production, operation, service and decommissioning, and the technical safety concept</t>
  </si>
  <si>
    <t>Review of HW or SW component safety requirements and system level assumptions</t>
  </si>
  <si>
    <t>Automotive Requirements Engineering Procedure 
(Safety Concept AS &amp; RS Review + Safety Manual review)</t>
  </si>
  <si>
    <t xml:space="preserve">Review records of the HW Safety Context demonstrate that it is correct, complete and consistent, including the allocation of requirements to the HW Safety Concept and the allocation of Safety Assumptions to the Safety Manual. </t>
  </si>
  <si>
    <t>4-6.5.7</t>
  </si>
  <si>
    <t xml:space="preserve">Safety analysis reports </t>
  </si>
  <si>
    <t>System and item integration and testing</t>
  </si>
  <si>
    <t>The integration and testing phase comprises three sub-phases and three objectives as described below. The first sub-phase is the integration of the hardware and software of each element. The second sub-phase is the integration of the elements that comprise a system to form a complete item. The third sub-phase is the integration of the item with other systems within a vehicle.
The first objective is to define the integration steps and to integrate the system elements until the system is fully integrated;.
The second objective is to verify that the defined safety measures, resulting from safety analyses at the system architectural level, are properly implemented.
A further objective is to provide evidence that the integrated system elements fulfil their safety requirements according to the system architectural design.</t>
  </si>
  <si>
    <t>4-7.5.1</t>
  </si>
  <si>
    <t>Item integration and testing strategy</t>
  </si>
  <si>
    <t>4-7.5.2</t>
  </si>
  <si>
    <t>Integration and test report(s)</t>
  </si>
  <si>
    <t>Safety Validation</t>
  </si>
  <si>
    <t>The first objective is to provide evidence that the safety goals are achieved by the item when being integrated into the respective vehicle(s).
The second objective is to provide evidence that the functional safety concept and the technical safety concept are appropriate for achieving functional safety for the item.</t>
  </si>
  <si>
    <t>4-8.5.1</t>
  </si>
  <si>
    <t>Safety validation specification including safety validation environment description</t>
  </si>
  <si>
    <t>4-8.5.2</t>
  </si>
  <si>
    <t>Safety validation report</t>
  </si>
  <si>
    <t>Specification of safety hardware requirements</t>
  </si>
  <si>
    <t>The first objective of this clause is to specify the hardware safety requirements. They are derived from the technical safety concept and system design specification.
The second objective is to verify that the hardware safety requirements are consistent with the technical safety concept and the system design specification.
A further objective of this phase is to detail the hardware-software interface (HSI) specification initiated in ISO 26262-4:2011, Clause 7.</t>
  </si>
  <si>
    <t>5-6.5.1</t>
  </si>
  <si>
    <t>Hardware safety requirements specification (including test and qualification criteria)</t>
  </si>
  <si>
    <t>Automotive Requirements Engineering Procedure 
(Requirements Specifications RS &amp; Architectural Specifications AS)</t>
  </si>
  <si>
    <t>The HW hardware safety requirements refines the HW Safety Concept requirements to define the detailed hardware safety requirements which are then allocated to specific part or sub-parts of the HW.
Review records of the HW Safety Concept demonstrate that it is correct, complete and consistent, including the refinement and traceability of safety requirements from the HW Safety Concept, the allocation of requirements to the detailed HW safety requirements and the allocation of Safety Assumptions to the Safety Manual. As well as the allocation of hardware safety requirements to the V&amp;V allocation in order to define how to test each hardware safety requirement.</t>
  </si>
  <si>
    <t>5-6.5.2</t>
  </si>
  <si>
    <t>Hardware-software interface specification (refined)</t>
  </si>
  <si>
    <t>An internal synchronization document is used between HW and SW when HW and SW components are developed concurrently (i.e. This is not a refinement of a system HSI). In case HW and SW are developed in sequence, then the HW Reference Manual and HW Safety Manual are used as input to the SW development</t>
  </si>
  <si>
    <t>HW-SW Interface Specification
or
HW Reference Manual
HW Safety Manual</t>
  </si>
  <si>
    <t>5-6.5.3</t>
  </si>
  <si>
    <t>Hardware safety requirements verification report</t>
  </si>
  <si>
    <t>Automotive Requirements Engineering Procedure 
(Requirements Specifications RS &amp; Architectural Specifications AS Review)</t>
  </si>
  <si>
    <t>Hardware Design</t>
  </si>
  <si>
    <t>The first objective of this clause is to design the hardware in accordance with the system design specification and the hardware safety requirements, also support safety oriented analyses and results.
The second objective of this clause is to specify requirements and to provide information regarding functional safety of the hardware during production, operation, service and decommissioning
 The further objective is to verify the hardware design against the system design specification and the hardware safety requirements.</t>
  </si>
  <si>
    <t>5-7.5.1</t>
  </si>
  <si>
    <t>Hardware design specification</t>
  </si>
  <si>
    <t>Automotive Requirements Engineering Procedure 
(Detailed Design Technical Specification DDTS)</t>
  </si>
  <si>
    <t>The safety requirement traceability matrix confirms that the safety requirements were correctly implemented and verified in the design. As well as the completion of all applicable deliverables, checklists and workflows.</t>
  </si>
  <si>
    <t>Customer Documents
(Data Sheet, Reference Manual, User Manual, Application Note, Release Note, Errata Report)</t>
  </si>
  <si>
    <t>Automotive HW Safety Manual</t>
  </si>
  <si>
    <t>Safety Impact Analysis Template</t>
  </si>
  <si>
    <t>5-7.5.2</t>
  </si>
  <si>
    <t>Hardware safety analysis report</t>
  </si>
  <si>
    <t>NXP Reliability Qualification Strategy
(Report Transient Failure Rate (Die)
JEDEC Standard JESD89)</t>
  </si>
  <si>
    <t>NXP Reliability Qualification Strategy
(Report Permanent Failure Rate (Die &amp; Package)
IEC/TR 62380)</t>
  </si>
  <si>
    <t>Automotive Functional Safety Analysis Procedure
Safety analysis report template</t>
  </si>
  <si>
    <t>5-7.5.3</t>
  </si>
  <si>
    <t>Hardware design verification report</t>
  </si>
  <si>
    <t>Automotive Verification Procedure</t>
  </si>
  <si>
    <t>5-7.5.4</t>
  </si>
  <si>
    <t>Specification of requirements related to production, operation, service and decommissioning</t>
  </si>
  <si>
    <t>Manufacturing and Sampling Plan
(AMD)</t>
  </si>
  <si>
    <t>Evaluation of the hardware architectural metrics</t>
  </si>
  <si>
    <t>The objective of this clause is to provide evidence based on the hardware architectural metrics for the suitability of the hardware architectural design of the item with respect to detection and control of safety-related random hardware failures.</t>
  </si>
  <si>
    <t>5-8.5.1</t>
  </si>
  <si>
    <t>Analysis of the effectiveness of the architecture of the item to cope with the random hardware failures</t>
  </si>
  <si>
    <t>Automotive Functional Safety Analysis Procedure</t>
  </si>
  <si>
    <t>Analysis and review done on HW component level (i.e. not item or system)</t>
  </si>
  <si>
    <t>5-8.5.2</t>
  </si>
  <si>
    <t>Review report of evaluation of the effectiveness of the architecture of the item to cope with the random hardware failures</t>
  </si>
  <si>
    <t>Automotive Functional Safety Analysis Procedure
(FMEDA, FTA &amp; DFA Review Templates)</t>
  </si>
  <si>
    <t>Evaluation of safety goals  due to random hardware failures</t>
  </si>
  <si>
    <t>The objective of this clause is to provide evidence that the residual risk of a safety goal violation, due to random hardware failures of the item, is sufficiently low.
NOTE “Sufficiently low” means “comparable to residual risks on items already in use and known to be safe”.</t>
  </si>
  <si>
    <t>5-9.5.1</t>
  </si>
  <si>
    <t>Analysis of safety goal violations due to random hardware failures</t>
  </si>
  <si>
    <t>The FMEDA confirms that the HW is able to achieve the target ASIL hardware architectural metrics with a combination of integrated safety mechanisms and system level safety measures as described in the  Safety Manual.</t>
  </si>
  <si>
    <t>5-9.5.2</t>
  </si>
  <si>
    <r>
      <t>Specification of dedicated measures for hardware,</t>
    </r>
    <r>
      <rPr>
        <i/>
        <sz val="10"/>
        <rFont val="Calibri"/>
        <family val="2"/>
        <scheme val="minor"/>
      </rPr>
      <t xml:space="preserve"> if needed, including the rationale regarding the effectiveness of the dedicated measures</t>
    </r>
  </si>
  <si>
    <t>5-9.5.3</t>
  </si>
  <si>
    <t xml:space="preserve">Verification review report of evaluation of safety goal violations due to random hardware failures </t>
  </si>
  <si>
    <t>Automotive Functional Safety Analysis Procedure
(Automotive FMEDA, FTA &amp; DFA Review Report Templates)</t>
  </si>
  <si>
    <t>Hardware integration and verification</t>
  </si>
  <si>
    <t>The objective of this clause is to ensure the compliance of the developed hardware with the hardware safety requirements.</t>
  </si>
  <si>
    <t>5-10.5.1</t>
  </si>
  <si>
    <t>Hardware integration and verification specification</t>
  </si>
  <si>
    <t>Automotive Requirements Engineering Procedure 
(V&amp;V Method attributes) (Table 10)</t>
  </si>
  <si>
    <t>The safety requirement traceability matrix confirms that the safety requirements were correctly implemented and validated on the HW silicon (where feasible, not all safety requirements are feasibly testable during silicon validation). As well as the completion of all applicable  workflows , deliverables and checklists, including completion of qualification testing and production readiness checks (summarized in the PPAP).</t>
  </si>
  <si>
    <t>Fault Injection Guideline
(Table 11)</t>
  </si>
  <si>
    <t>Automotive Validation Procedure
(Table 11 &amp; 12)</t>
  </si>
  <si>
    <t>NXP Reliability Qualification Strategy
(Table 12)</t>
  </si>
  <si>
    <t>5-10.5.2</t>
  </si>
  <si>
    <t xml:space="preserve">Hardware integration and verification report </t>
  </si>
  <si>
    <t>General topics for the product development at the software level</t>
  </si>
  <si>
    <t>The objective of this sub-phase is  to ensure a suitable and consistent software development process and
a suitable software development environment.</t>
  </si>
  <si>
    <t>6-5.5.1</t>
  </si>
  <si>
    <t>Documentation of the software development environment</t>
  </si>
  <si>
    <t>SW Design and Coding Guidelines (MISRA C:2012)
Automotive SW Engineering Procedure</t>
  </si>
  <si>
    <t>MISRA C: 2012</t>
  </si>
  <si>
    <t xml:space="preserve">Coding Guideline contains internal coding rules applicable for ISO26262 projects covering: module templates rules, naming conventions for files, data types, variables and constants, API functions, macros, enumerations, code formatting and code robustness rules, declarations and initialization rules.
Design Guideline covers UML modeling rules for: UML repository structure, generic architectural design rules, types of diagrams elements and connectors, rules regarding the content of each type of diagram used for both static and dynamic views
MISRA C:2012 Standard </t>
  </si>
  <si>
    <t>Project Design Guideline</t>
  </si>
  <si>
    <t>Project Coding Guideline</t>
  </si>
  <si>
    <t>Software safety requirements specification</t>
  </si>
  <si>
    <t>The first objective of this sub-phase is to specify the software safety requirements. They are derived from the technical safety concept and the system design specification.
The second objective is to detail the hardware-software interface requirements initiated in ISO 26262-4:2011, Clause 7.
The third objective is to verify that the software safety requirements and the hardware-software interface requirements are consistent with the technical safety concept and the system design specification.</t>
  </si>
  <si>
    <t>6-6.5.1</t>
  </si>
  <si>
    <t>Automotive Requirements Engineering Procedure 
Automotive SW Engineering Procedure
Project Requirements Management Plan template
SW Requirements Specifications (RS)</t>
  </si>
  <si>
    <t>SW Requirements are specified and managed in alignment with Automotive Requirements Engineering Procedure and Project Requirements Management Plan.</t>
  </si>
  <si>
    <t>Software Requirements Collection contains the complete set of driver functional and non-functional requirements collected from various inputs: Autosar Specification, Customer Requirements, Safety Concept derived requirements, marketing requirements, and organized in a hierarchical structure following FSL internal Requirements Management Process Software External Assumptions are managed in the same database and exported prior to release in driver integration manuals and safety manual.</t>
  </si>
  <si>
    <t>SW Requirements Specifications (RS) at all SW levels: high level and detailed RS  (including security scope)</t>
  </si>
  <si>
    <t>6-6.5.2</t>
  </si>
  <si>
    <t>HW Platform Reference Manual covering description of the microcontroller application, core features, HW features, device family, architecture block diagram, packaging info, chip configuration, memory map, memories, core descriptions, clocks descriptions, HW IPs detailed descriptions.</t>
  </si>
  <si>
    <t>Reference Manual (if applicable)</t>
  </si>
  <si>
    <t>6-6.5.3</t>
  </si>
  <si>
    <t>Software verification report</t>
  </si>
  <si>
    <t xml:space="preserve">
Automotive SW Engineering Procedure
Automotive SW Test Report Template
Automotive Traceability Report template
Review records</t>
  </si>
  <si>
    <t>Test Report covers the results of tests execution
Traceability reports</t>
  </si>
  <si>
    <t>Module Test Reports contain the following information for each executed test case: IDs, Description, Configuration, Result, optional follow-up tickets</t>
  </si>
  <si>
    <t>SW Test Reports</t>
  </si>
  <si>
    <t>Driver Traceability Reports contain two main parts: - Requirements Analysis in terms of feasibility, safety impact, verification criteria, requirement type - Traceability Matrix covering the mapping between requirements, design elements, code elements and test cases.</t>
  </si>
  <si>
    <t>SW Traceability Matrix (full: Req-design-code-tests)</t>
  </si>
  <si>
    <t>Records of formal review of type Inspection, Walkthrough and Mini-walkthrough available in Atlassian Crucible and Bitbucket tool</t>
  </si>
  <si>
    <t>Review records in bitbucket and Crucible</t>
  </si>
  <si>
    <t>Module Static Analysis Reports contain results of the quality static analysis, MISRA compliance and HIS code metrics</t>
  </si>
  <si>
    <t>Static Analysis - HIS Metrics report</t>
  </si>
  <si>
    <t>Software architectural design</t>
  </si>
  <si>
    <t>The first objective of this sub-phase is to develop a software architectural design that realizes the software safety requirements.
The second objective of this sub-phase is to verify the software architectural design.</t>
  </si>
  <si>
    <t>6-7.5.1</t>
  </si>
  <si>
    <t>Software architectural design specification</t>
  </si>
  <si>
    <t xml:space="preserve">
Automotive SW Engineering Procedure
Automotive SW Architectural Specification</t>
  </si>
  <si>
    <t>Covers description of the overall product, its componentization, interfaces between components.</t>
  </si>
  <si>
    <t>SW Architectural Specification describes a high level of the project structure, behavior and more views of the  system/product.</t>
  </si>
  <si>
    <t>SW Architectural Specification (including safety concept; software security concept) (AS)</t>
  </si>
  <si>
    <t>6-7.5.2</t>
  </si>
  <si>
    <t>Safety analysis report</t>
  </si>
  <si>
    <t xml:space="preserve">
Automotive SW Engineering Procedure
SW Safety Analysis Report template (SW FMEA) </t>
  </si>
  <si>
    <t>Covers description of the failing items, failure modes, effects, detection and prevention mechanisms</t>
  </si>
  <si>
    <t>Safety Analysis (FMEA) Reports contain descriptions of failure modes, failure causes, failure effects, identified safety measures and their corresponding requirements.</t>
  </si>
  <si>
    <t>SW Safety Analysis (eg SW FMEA) for  Explicit safety projects. Note that for Implicit safety, the FMEA is required at EAR in A version; no initial version.</t>
  </si>
  <si>
    <t>6-7.5.3</t>
  </si>
  <si>
    <t>Dependent failures analysis report</t>
  </si>
  <si>
    <t>6-7.5.4</t>
  </si>
  <si>
    <t>Software verification report (refined)</t>
  </si>
  <si>
    <t>Reviews of the Requirements Specification,  Requirements Traceability reports templates</t>
  </si>
  <si>
    <t>Covers requirements-tests mapping, formal reviews on requirements specification and traceability reports.</t>
  </si>
  <si>
    <t>Software unit design and implementation</t>
  </si>
  <si>
    <t>The first objective of this sub-phase is to specify the software units in accordance with the software architectural design and the associated software safety requirements.
The second objective of this sub-phase is to implement the software units as specified.
The third objective of this sub-phase is the static verification of the design of the software units and their implementation.</t>
  </si>
  <si>
    <t>6-8.5.1</t>
  </si>
  <si>
    <t>Software unit design specification
NOTE In the case of model-based development, the implementation model and supporting descriptive documentation, using techniques listed in Table 8, specifies the software units.</t>
  </si>
  <si>
    <t xml:space="preserve">
Automotive SW Engineering Procedure
SW Design Technical Specification template (SW Detailed Design)</t>
  </si>
  <si>
    <t>Covers detailed description of the components and interfaces</t>
  </si>
  <si>
    <t>&lt;Project Name&gt; UML Design contains two parts: &lt;Project Name&gt; top level view and Driver UML Architectural and Detailed Design covering the following UML Diagrams: &lt;Project Name&gt; Top Level View, Driver Hierarchical View, Files Structure, Plugin Diagrams, Activity and Sequence Diagrams for each software function</t>
  </si>
  <si>
    <t>SW Detailed Design  (including security scope)</t>
  </si>
  <si>
    <t>6-8.5.2</t>
  </si>
  <si>
    <t xml:space="preserve">Software unit implementation </t>
  </si>
  <si>
    <t xml:space="preserve">
Automotive SW Engineering Procedure
Source code/binaries</t>
  </si>
  <si>
    <t>Source code files, executable, binaries etc.</t>
  </si>
  <si>
    <t>Source code / binaries</t>
  </si>
  <si>
    <t>Software unit verification</t>
  </si>
  <si>
    <t>The objective of this sub-phase is to demonstrate that the software units fulfil the software unit design specifications and do not contain undesired functionality.</t>
  </si>
  <si>
    <t>6-9.5.1</t>
  </si>
  <si>
    <t xml:space="preserve">Software verification specification </t>
  </si>
  <si>
    <t>Automotive SW Engineering Procedure
SW Test Specification template (Unit Testing)</t>
  </si>
  <si>
    <t>Contains unit tests specification</t>
  </si>
  <si>
    <t xml:space="preserve">&lt;Project Name&gt; Testing Strategy is applicable for &lt;Project Name&gt; and contains testing methodologies, testing activities and deliverables, testing environment needs applicable for safety &lt;Project Name&gt;.    </t>
  </si>
  <si>
    <t>SW Test Plan (Test Strategy)</t>
  </si>
  <si>
    <t>6-9.5.2</t>
  </si>
  <si>
    <t xml:space="preserve">Software verification report (refined) </t>
  </si>
  <si>
    <t>Automotive SW Engineering Procedure
SW Test Report template (unit testing)
SW Code Coverage Report template
SW Traceability Report (Unit Tests - Detailed design; detailed design -code)</t>
  </si>
  <si>
    <t>Contains unit test results, code coverage results (SC, DC, MC/DC), traceability reports</t>
  </si>
  <si>
    <t>Software integration and verification</t>
  </si>
  <si>
    <t>The first objective of this sub-phase is to integrate the software elements.
The second objective of this sub-phase is to demonstrate that the software architectural design is realized by the embedded software.</t>
  </si>
  <si>
    <t>6-10.5.1</t>
  </si>
  <si>
    <t xml:space="preserve">Software verification specification (refined) </t>
  </si>
  <si>
    <t>Automotive SW Engineering Procedure
SW Test Specification template (Integration Testing)</t>
  </si>
  <si>
    <t>Contains specification of the integration tests</t>
  </si>
  <si>
    <t xml:space="preserve">Module Test Specifications contain the following information: description of test environment, Test suites and test cases detailed description  </t>
  </si>
  <si>
    <t>SW Test Specification (at all test levels)</t>
  </si>
  <si>
    <t>6-10.5.2</t>
  </si>
  <si>
    <t xml:space="preserve">Embedded software </t>
  </si>
  <si>
    <t>Source code/binaries - integration level</t>
  </si>
  <si>
    <t>6-10.5.3</t>
  </si>
  <si>
    <t>Automotive SW Engineering Procedure
SW Test Reports template (Integration Testing) 
Coverage Results - integration level
Traceability Reports (Requirements, Integration Tests)</t>
  </si>
  <si>
    <t>Contains integration  test results,  coverage results (Call coverage, Function coverage), traceability reports</t>
  </si>
  <si>
    <t>Testing of the embedded software</t>
  </si>
  <si>
    <t>The objective of this sub-phase is to demonstrate that the embedded software fulfils the software safety requirements.</t>
  </si>
  <si>
    <t>6-11.5.1</t>
  </si>
  <si>
    <t>6-11.5.2</t>
  </si>
  <si>
    <t>Software configuration</t>
  </si>
  <si>
    <t>The objective of software configuration is to enable controlled changes in the behaviour of the software for different applications.</t>
  </si>
  <si>
    <t xml:space="preserve">6-C.5.1 </t>
  </si>
  <si>
    <t>Configuration data specification resulting from requirements C.4.1 to C.4.4.</t>
  </si>
  <si>
    <t>Automotive SW Engineering Procedure
SW Requirements Specifications (RS)</t>
  </si>
  <si>
    <t>Contains configuration requirements</t>
  </si>
  <si>
    <t xml:space="preserve">6-C.5.2 </t>
  </si>
  <si>
    <t>Calibration data specification resulting from requirement C.4.6 to C.4.8.</t>
  </si>
  <si>
    <t>Calibaration data requiremenent is done at SW application level.</t>
  </si>
  <si>
    <t>6-C.5.3</t>
  </si>
  <si>
    <t>Configuration data resulting from requirement C.4.2 to C.4.4.</t>
  </si>
  <si>
    <t>Automotive SW Engineering Procedure
Configuration files</t>
  </si>
  <si>
    <t>Configuration files generated with the configuration tool.</t>
  </si>
  <si>
    <t xml:space="preserve">6-C.5.4 </t>
  </si>
  <si>
    <t>Calibration data resulting from requirement C.4.7 to C.4.10.</t>
  </si>
  <si>
    <t>Calibration data are SW application level</t>
  </si>
  <si>
    <t>6-C.5.5</t>
  </si>
  <si>
    <t xml:space="preserve"> Verification specification resulting from requirements C.4.2, C.4.4, C.4.5, C.4.7, C.4.8, C4.10 and C.4.11.</t>
  </si>
  <si>
    <t>Automotive SW Engineering Procedure
SW Test Specification template</t>
  </si>
  <si>
    <t>Covering the name of the configuration associated to each test case and the equivalence class tests for configuration.</t>
  </si>
  <si>
    <t>6-C.5.6</t>
  </si>
  <si>
    <t>Verification report resulting from requirements C.4.2, C.4.4, C.4.5, C.4.7, C.4.8, C4.10 and C.4.11.</t>
  </si>
  <si>
    <t xml:space="preserve">Automotive SW Engineering Procedure
SW Test Report template 
</t>
  </si>
  <si>
    <t>Contains test results and the name of the configuration associated to each test case</t>
  </si>
  <si>
    <t>6-C.5.7</t>
  </si>
  <si>
    <t>Software architectural design specification (refined) resulting from requirement C.4.10.</t>
  </si>
  <si>
    <t>6-C.5.8</t>
  </si>
  <si>
    <t>Documentation of the software development environment (refined) resulting from requirements C.4.1 to C.4.11.</t>
  </si>
  <si>
    <t>Automotive SW Engineering Procedure</t>
  </si>
  <si>
    <t>7 - Production and operation</t>
  </si>
  <si>
    <t>Planning for production, operation, service and decommissioning</t>
  </si>
  <si>
    <t>The first objective of this clause is to develop and maintain a production process for safety-related elements or items that are intended to be installed in road vehicles.
The second objective is to develop the necessary information concerning operation, service (maintenance and repair) and decommissioning for users who interface with the safety-related items or elements in order to ensure that functional safety is achieved throughout the lifecycle of the vehicle.</t>
  </si>
  <si>
    <t>7-5.5.1</t>
  </si>
  <si>
    <t>Safety-related content of the production plan</t>
  </si>
  <si>
    <t>Characterization &amp; Production Test Plan
(AMD)</t>
  </si>
  <si>
    <t>Standard Automotive production process (zero defect objective) for HW (component), no specifics for safety</t>
  </si>
  <si>
    <t>7-5.5.2</t>
  </si>
  <si>
    <t>Safety-related content of the production control plan</t>
  </si>
  <si>
    <t>Characterization Test Specification
(AMD)</t>
  </si>
  <si>
    <t>7-5.5.3</t>
  </si>
  <si>
    <t>If applicable, specification of requirements on the producibility at system-, hardware or software development level
NOTE This specification can be appended to the relevant documentation of the corresponding phases.</t>
  </si>
  <si>
    <t>7-5.5.4</t>
  </si>
  <si>
    <t>Production process capability report (Assessment report for capability of the production process)</t>
  </si>
  <si>
    <t>Product Part Approval Process (PPAP)</t>
  </si>
  <si>
    <t>7-5.5.5</t>
  </si>
  <si>
    <t>Safety-related content of the service plan.</t>
  </si>
  <si>
    <t>No service of HW component, considered out of scope for Semiconductors</t>
  </si>
  <si>
    <r>
      <t xml:space="preserve">No </t>
    </r>
    <r>
      <rPr>
        <strike/>
        <sz val="10"/>
        <rFont val="Calibri"/>
        <family val="2"/>
        <scheme val="minor"/>
      </rPr>
      <t xml:space="preserve"> </t>
    </r>
    <r>
      <rPr>
        <sz val="10"/>
        <rFont val="Calibri"/>
        <family val="2"/>
        <scheme val="minor"/>
      </rPr>
      <t>service of HW component, considered out of scope for Semiconductors</t>
    </r>
  </si>
  <si>
    <t>7-5.5.6</t>
  </si>
  <si>
    <t>Safety-related content of the service instruction.</t>
  </si>
  <si>
    <t>7-5.5.7</t>
  </si>
  <si>
    <t xml:space="preserve">Safety-related content of the information made available to the user </t>
  </si>
  <si>
    <t>All information required by the system integrator (NXP customer) is made available to enable integration of the HW component into the safety system. The customer deliverables are mapped in part 5 &amp; part 6 (Reference Manual, Data Sheet, Safety Manual, Application Notes, User Manual, Release Notes)</t>
  </si>
  <si>
    <t>7-5.5.8</t>
  </si>
  <si>
    <t>Safety-related content of the  decommissioning instructions</t>
  </si>
  <si>
    <t>No specific instructions for decomissioning, considered out of scope for Semiconductors</t>
  </si>
  <si>
    <t>No specific instructions for decommissioning, considered out of scope for Semiconductors</t>
  </si>
  <si>
    <t>7-5.5.9</t>
  </si>
  <si>
    <r>
      <rPr>
        <i/>
        <sz val="10"/>
        <rFont val="Calibri"/>
        <family val="2"/>
        <scheme val="minor"/>
      </rPr>
      <t>If applicable</t>
    </r>
    <r>
      <rPr>
        <sz val="10"/>
        <rFont val="Calibri"/>
        <family val="2"/>
        <scheme val="minor"/>
      </rPr>
      <t>, specification of requirements relating to operation, service and decommissioning at system-, hardware or software development level
NOTE This specification can be appended to the relevant documentation of the corresponding phases.</t>
    </r>
  </si>
  <si>
    <t>No specific safety requirements for HW component, considered out of scope for Semiconductors</t>
  </si>
  <si>
    <t>7-5.5.10</t>
  </si>
  <si>
    <t>Safety-related content of the  rescue service instructions</t>
  </si>
  <si>
    <t>No specific instructions for rescue service, considered out of scope for Semiconductors</t>
  </si>
  <si>
    <t>Production</t>
  </si>
  <si>
    <t>The objective of this clause is to achieve functional safety during the production process by the relevant manufacturer or the person or organisation responsible for the process (vehicle manufacturer, supplier, sub-supplier, etc.).</t>
  </si>
  <si>
    <t>7-6.5.1</t>
  </si>
  <si>
    <t xml:space="preserve">Control measures report </t>
  </si>
  <si>
    <t>Product Part Approval Process (PPAP)
(Control Plan)</t>
  </si>
  <si>
    <t>7-6.5.2</t>
  </si>
  <si>
    <t>Production process capability report resulting from requirement 6.4.1.3 and 6.4.1.4.
NOTE The capability of the production process can be included in the Production Part Approval Process (PPAP) documentation.</t>
  </si>
  <si>
    <t>Operation, service and decommissioning</t>
  </si>
  <si>
    <t>The objective of this clause is to ensure that functional safety is achieved during the operation, service (maintenance and repair) and decommissioning sub-phases of the vehicle lifecycle.</t>
  </si>
  <si>
    <t>7-7.5.1</t>
  </si>
  <si>
    <t>Field observations instructions</t>
  </si>
  <si>
    <t>All standard systems setup for field monitoring. CQI system updated with specific fields to help identify safety related field returns.</t>
  </si>
  <si>
    <t>8 - Supporting Processes</t>
  </si>
  <si>
    <t>Interfaces within distributed development</t>
  </si>
  <si>
    <t>The objective of this clause is to describe the procedures and to allocate associated responsibilities within distributed developments for items and elements.</t>
  </si>
  <si>
    <t>8-5.5.1</t>
  </si>
  <si>
    <t>Supplier selection report</t>
  </si>
  <si>
    <t>In case NXP supplier has some responsibility for functional safety</t>
  </si>
  <si>
    <t>Automotive Supplier Management Procedure
(RFI template)</t>
  </si>
  <si>
    <t>At this time, no customer DIA available.
No responsibility for functional safety placed on NXP suppliers, see  Safety Plan for further details.</t>
  </si>
  <si>
    <t>8-5.5.2</t>
  </si>
  <si>
    <t>Development interface agreement (DIA)</t>
  </si>
  <si>
    <t>Automotive HW/SW ISO 26262 DIA Template</t>
  </si>
  <si>
    <t>8-5.5.3</t>
  </si>
  <si>
    <t>Supplier's safety plan</t>
  </si>
  <si>
    <t>Automotive Supplier Management Procedure</t>
  </si>
  <si>
    <t>8-5.5.4</t>
  </si>
  <si>
    <t>Functional safety assessment report</t>
  </si>
  <si>
    <t>8-5.5.5</t>
  </si>
  <si>
    <t xml:space="preserve">Supply agreement </t>
  </si>
  <si>
    <t>Automotive BCaM7 Statement of Work Template</t>
  </si>
  <si>
    <t>Configuration management</t>
  </si>
  <si>
    <t>The first objective is to ensure that the work products, and the principles and general conditions of their creation, can be uniquely identified and reproduced in a controlled manner at any time.
The second objective is to ensure that the relations and differences between earlier and current versions can be traced.</t>
  </si>
  <si>
    <t>8-7.5.1</t>
  </si>
  <si>
    <t xml:space="preserve">Configuration management plan </t>
  </si>
  <si>
    <t>Standard Automotive configuration management for HW or SW component - with addition of safety deliverables</t>
  </si>
  <si>
    <t>Automotive Configuration Management Procedure
(Automotive BCaM7 Configuration Management Plan Template)</t>
  </si>
  <si>
    <t>All key deliverables in the development are under configuration management.</t>
  </si>
  <si>
    <t xml:space="preserve">These documents contain the configuration management strategy and change management rules applicable for safety &lt;Project Name&gt; project, &lt;Project Name&gt; project, CM and CHM roles and configuration management tools and change management tools </t>
  </si>
  <si>
    <t>SW Configuration Management Plan</t>
  </si>
  <si>
    <t>Change management</t>
  </si>
  <si>
    <t>The objective of change management is to analyse and control changes to safety-related work products throughout the safety lifecycle.</t>
  </si>
  <si>
    <t>8-8.5.1</t>
  </si>
  <si>
    <t xml:space="preserve">Change management plan </t>
  </si>
  <si>
    <t>Standard Automotive change management for HW or SW component - with addition of safety impact analysis as required</t>
  </si>
  <si>
    <t>Changes are managed throughout the safety lifecycle and all change tickets can be found in the  CCB reports, DesignPDM tickets and CAB change system.</t>
  </si>
  <si>
    <t>8-8.5.2</t>
  </si>
  <si>
    <t xml:space="preserve">Change request </t>
  </si>
  <si>
    <t>Jira Change Request Record</t>
  </si>
  <si>
    <t>Jira Tickets linked to release version</t>
  </si>
  <si>
    <t>8-8.5.3</t>
  </si>
  <si>
    <t xml:space="preserve">Impact analysis and change request plan </t>
  </si>
  <si>
    <t xml:space="preserve">Jira Change Requests Analysis Report fields    </t>
  </si>
  <si>
    <t>8-8.5.4</t>
  </si>
  <si>
    <t xml:space="preserve">Change report </t>
  </si>
  <si>
    <t>Verification</t>
  </si>
  <si>
    <t>The objective of verification is to ensure that the work products comply with their requirements.</t>
  </si>
  <si>
    <t>8-9.5.1</t>
  </si>
  <si>
    <t xml:space="preserve">Verification plan </t>
  </si>
  <si>
    <t>Standard Automotive verification of HW or SW component - with the addition of fault injection testing with regards to safety requirements, as well as safety requirements traceability</t>
  </si>
  <si>
    <t>Review Checklists (AMC)
Verification, Validation, Characterization &amp; Production Test Plans
SW Test Plans</t>
  </si>
  <si>
    <t>The AMC and AMD tracker system includes all deliverables, reviews, checklists and testing activities to ensure the correctness of each deliverable at every step in the development process. During the course of the development, the applicable workflows and checklists were completed.
Automotive SW Test Plan Template contain software verification and validation  approach, deliverables, roles involved, test levels, test types, test cases structure, test environment.</t>
  </si>
  <si>
    <t xml:space="preserve">&lt;Project Name&gt; Testing Strategy is applicable for&lt;Project Name&gt; and contains testing methodologies, testing activities and deliverables, testing environment needs applicable for safety &lt;Project Name&gt;.    </t>
  </si>
  <si>
    <t>8-9.5.2</t>
  </si>
  <si>
    <t>Verification specification</t>
  </si>
  <si>
    <t>Review Checklists (AMC)
Verification, Validation, Characterization &amp; Production Test Specifications
SW Test Specifications</t>
  </si>
  <si>
    <t xml:space="preserve">Module Test Specifications contain the following information: description of test environment, Test suites and test cases detailed description </t>
  </si>
  <si>
    <t>8-9.5.3</t>
  </si>
  <si>
    <t>Verification report</t>
  </si>
  <si>
    <t>Review Checklists (AMC)
Verification, Validation, Characterization &amp; Production Test Results
SW Test Reports</t>
  </si>
  <si>
    <t>Contains code coverage results (SC, DC, MC/DC)</t>
  </si>
  <si>
    <t>SW Code Coverage Report</t>
  </si>
  <si>
    <t>Module Static Analysis Reports contains Misra complaince, HIS code metrics results</t>
  </si>
  <si>
    <t>Static Analysis - MISRA Reports</t>
  </si>
  <si>
    <t>Documentation Management</t>
  </si>
  <si>
    <t>The primary objective is to develop a documentation management strategy for the entire safety lifecycle in order to facilitate an effective and repeatable documentation management process.</t>
  </si>
  <si>
    <t>8-10.5.1</t>
  </si>
  <si>
    <t xml:space="preserve">Documentation management plan </t>
  </si>
  <si>
    <t>Standard Automotive documentation management for HW or SW component</t>
  </si>
  <si>
    <t xml:space="preserve">Standard templates, configuration management and reviews ensure  effective and repeatable documentation processes over the entire safety lifecycle. </t>
  </si>
  <si>
    <t xml:space="preserve">These documents contain the configuration management strategy and change management rules applicable for safety &lt;Project Name&gt; project,&lt;Project Name&gt; project, CM and CHM roles and configuration management tools and change management tools </t>
  </si>
  <si>
    <t>8-10.5.2</t>
  </si>
  <si>
    <t xml:space="preserve">Documentation guideline requirements </t>
  </si>
  <si>
    <t>Confidence in the use of software tools</t>
  </si>
  <si>
    <t>The first objective of this clause is to provide criteria to determine the required level of confidence in a software tool when applicable.
The second objective of this clause is to provide means for the qualification of the software tool when applicable, in order to create evidence that the software tool is suitable to be used to tailor the activities or tasks required by ISO 26262 (i.e. the user can rely on the correct functioning of a software tool for those activities or tasks required by ISO 26262).</t>
  </si>
  <si>
    <t>8-11.5.1</t>
  </si>
  <si>
    <t xml:space="preserve">Software tool criteria evaluation report </t>
  </si>
  <si>
    <t>Classification of all SW tools used during the HW or SW component development (definition to implementation to testing)</t>
  </si>
  <si>
    <t>Automotive Functional Safety Tool Compliance Procedure 
SW Tools Evaluation Template</t>
  </si>
  <si>
    <t>All design tools classified based on their usage in the overall tool flow and TCL determined. Qualification reports for SW tools classified as TCL2 or TCL3</t>
  </si>
  <si>
    <t>Tools Qualification Package contains tools initial evaluation, establisment of the tool confidence level, failure modes analysis, action plans needed for qualifications and tool qualification status for internal and external tools used during &lt;Project Name&gt; Project development.</t>
  </si>
  <si>
    <t>SW Tool Criteria Evaluation &amp; Qualification Report</t>
  </si>
  <si>
    <t>8-11.5.2</t>
  </si>
  <si>
    <t xml:space="preserve">Software tool qualification report </t>
  </si>
  <si>
    <t>Qualification reports for SW tools classified as TCL2 or TCL3</t>
  </si>
  <si>
    <t>Automotive Functional Safety Tool Compliance Procedure
SW Tools Evaluation Template (evidences of software tools qualification included)</t>
  </si>
  <si>
    <t>Qualification of software components</t>
  </si>
  <si>
    <t>The objective of the qualification of software components is to provide evidence for their suitability for re-use in items developed in compliance with ISO 26262.</t>
  </si>
  <si>
    <t>8-12.5.1</t>
  </si>
  <si>
    <t xml:space="preserve">Software component documentation </t>
  </si>
  <si>
    <t>8-12.5.2</t>
  </si>
  <si>
    <t xml:space="preserve">Software component qualification report </t>
  </si>
  <si>
    <t>8-12.5.3</t>
  </si>
  <si>
    <t xml:space="preserve">Software component qualification verification report </t>
  </si>
  <si>
    <t>Evaluation of hardware components</t>
  </si>
  <si>
    <t>The first objective of the evaluation of hardware components is to provide evidence of the suitability of intermediate level hardware components and parts for their use as part of items, systems or elements, developed in compliance with ISO 26262, concerning their functional behaviour and their operational limitations for the purposes of the safety concept.
The second objective of the qualification of hardware components is to provide relevant information regarding:
- their failure modes,
- their failure mode distribution, and
- their diagnostic capability with respect to the safety concept for the item.</t>
  </si>
  <si>
    <t>8-13.5.1</t>
  </si>
  <si>
    <t xml:space="preserve">HW element evaluation plan
(e.g HW IP) </t>
  </si>
  <si>
    <t>Automotive Functional Safety Management Procedure</t>
  </si>
  <si>
    <t>Applicable for sytem in package (SIP) using third party HW elements or IPs.</t>
  </si>
  <si>
    <t>8-13.5.2</t>
  </si>
  <si>
    <t xml:space="preserve">HW element  test plan 
(e.g HW IP) </t>
  </si>
  <si>
    <t>8-13.5.3</t>
  </si>
  <si>
    <t xml:space="preserve">HW element evaluation report
(e.g HW IP)  </t>
  </si>
  <si>
    <t>Proven in use argumentation</t>
  </si>
  <si>
    <t>This clause provides guidance for a proven in use argument. A proven in use argument is an alternate means of compliance with ISO 26262 that may be used in the case of reuse of existing items or elements when field data is available.</t>
  </si>
  <si>
    <t>8-14.5.1</t>
  </si>
  <si>
    <t xml:space="preserve">Description of candidate for proven in use argument </t>
  </si>
  <si>
    <t>No proven in use argument used</t>
  </si>
  <si>
    <t>8-14.5.2</t>
  </si>
  <si>
    <t xml:space="preserve">Proven in use analysis reports </t>
  </si>
  <si>
    <t>9 - ASIL- and safety- oriented analysis</t>
  </si>
  <si>
    <t>Requirements decomposition with respect to ASIL tailoring</t>
  </si>
  <si>
    <t>This clause provides rules and guidance for decomposing safety requirements into redundant safety requirements to allow ASIL tailoring at the next level of detail.</t>
  </si>
  <si>
    <t>9-5.5.1</t>
  </si>
  <si>
    <t>Update of architectural information</t>
  </si>
  <si>
    <t>Not applicable for SEooC HW or SW Component Development, it is item or system specific.</t>
  </si>
  <si>
    <t>9-5.5.2</t>
  </si>
  <si>
    <t>Update of ASIL as attribute of safety requirements and elements</t>
  </si>
  <si>
    <t>Criteria of coexistence of elements</t>
  </si>
  <si>
    <t>This clause provides criteria for the coexistence within the same element of:
- safety-related sub-elements with sub-elements that have no ASIL assigned; and
- safety-related sub-elements that have different ASILs assigned.</t>
  </si>
  <si>
    <t>9-6.5.1</t>
  </si>
  <si>
    <t>Update of ASIL as attribute of sub-elements of elements</t>
  </si>
  <si>
    <t>Dependent Failure Analysis Template</t>
  </si>
  <si>
    <r>
      <t>During development, the susceptibility of the HW to dependent failures is evaluated by ensuring sufficient independence between on-chip
functions and their respective safety mechanisms.</t>
    </r>
    <r>
      <rPr>
        <strike/>
        <sz val="10"/>
        <rFont val="Calibri"/>
        <family val="2"/>
        <scheme val="minor"/>
      </rPr>
      <t xml:space="preserve"> </t>
    </r>
  </si>
  <si>
    <t>Analysis of dependent failures</t>
  </si>
  <si>
    <t>The analysis of dependent failures aims to identify the single events or single causes that could bypass or invalidate a required independence or freedom from interference between given elements and violate a safety requirement or a safety goal.</t>
  </si>
  <si>
    <t>9-7.5.1</t>
  </si>
  <si>
    <t>During development, the susceptibility of the HW to dependent failures is evaluated by ensuring sufficient independence between on-chip
functions and their respective safety mechanisms.</t>
  </si>
  <si>
    <t>Safety analysis</t>
  </si>
  <si>
    <t>The objective of safety analyses is to examine the consequences of faults and failures on the functions, behaviour and design of items and elements. Safety analyses also provide information on conditions and causes that could lead to the violation of a safety goal or safety requirement.
Additionally, the safety analyses also contribute to the identification of new functional or non-functional hazards not previously identified during the hazard analysis and risk assessment.</t>
  </si>
  <si>
    <t>9-8.5.1</t>
  </si>
  <si>
    <t>Safety analyses</t>
  </si>
  <si>
    <t>Safety Analysis Report templates (HW, SW)</t>
  </si>
  <si>
    <t>The HW Safety Analysis confirms that the HW is able to achieve the target ASIL hardware architectural metrics with a combination of integrated safety mechanisms and system level safety measures as described in the Safety Manual.
SW Safety Analysis confirms safety requirements derived in the Concept phase and verifies the design.</t>
  </si>
  <si>
    <t>Driver Safety Analysis (FMEA) Reports contain descriptions of failure modes, failure causes, failure effects, identified safety measures and their corresponding requirements.</t>
  </si>
  <si>
    <t>9-8.5.2</t>
  </si>
  <si>
    <t>Safety analyses verification report</t>
  </si>
  <si>
    <t xml:space="preserve">
Safety Analysis Verification Report templates (HW, SW) ?</t>
  </si>
  <si>
    <t>The AMD AMC tracker system includes all deliverables, reviews, checklists and testing activities to ensure the correctness of each deliverable at every step in the development process. During the course of the development, the applicable workflows and checklists were completed.</t>
  </si>
  <si>
    <t>Review evidence of SW Safety Analysis (SW FMEA)</t>
  </si>
  <si>
    <t>ISO26262 Project Name Development Sign-Off Report</t>
  </si>
  <si>
    <r>
      <t xml:space="preserve">Product Name </t>
    </r>
    <r>
      <rPr>
        <b/>
        <i/>
        <sz val="11"/>
        <color theme="1"/>
        <rFont val="Arial"/>
        <family val="2"/>
      </rPr>
      <t>( e.g.. SMCAL 4.0 Rainier)</t>
    </r>
  </si>
  <si>
    <r>
      <t xml:space="preserve">Release  Type and Version Name </t>
    </r>
    <r>
      <rPr>
        <b/>
        <i/>
        <sz val="11"/>
        <color theme="1"/>
        <rFont val="Arial"/>
        <family val="2"/>
      </rPr>
      <t>(e,g, RTM 1.0.0)</t>
    </r>
  </si>
  <si>
    <t>Release Date</t>
  </si>
  <si>
    <t xml:space="preserve">Safety Manager </t>
  </si>
  <si>
    <t>Project Manager</t>
  </si>
  <si>
    <t>Liaison Team Manager</t>
  </si>
  <si>
    <t xml:space="preserve">Project Quality Engineer </t>
  </si>
  <si>
    <t>Quality Manager</t>
  </si>
  <si>
    <t>Deliverable Name and Version</t>
  </si>
  <si>
    <t>ISO26262 Requirement Addressed</t>
  </si>
  <si>
    <t>Document Location</t>
  </si>
  <si>
    <t>Responsible Role for operational work</t>
  </si>
  <si>
    <t>Safety Manager Contribution</t>
  </si>
  <si>
    <t>Sign-Off Responsible Role</t>
  </si>
  <si>
    <t>Sign-Off Date</t>
  </si>
  <si>
    <t>Approval Evidence ID #</t>
  </si>
  <si>
    <t>All Parts applicable for SW</t>
  </si>
  <si>
    <t>SW Project Manager</t>
  </si>
  <si>
    <t>Delegates the Safety Plan creation and maintenance to Project Quality Engineer
Ensures that Safety Plan covers ISO26262 Part 2- 6.4.3 requirements</t>
  </si>
  <si>
    <t>SW Product Owner</t>
  </si>
  <si>
    <t>Part 10 - 8 (SEooC)</t>
  </si>
  <si>
    <t>SW Safety Architect</t>
  </si>
  <si>
    <t>Reviewer and approver</t>
  </si>
  <si>
    <t>Another SW Safety Architect, SW Safety Expert or Safety Manager</t>
  </si>
  <si>
    <t>Part 2</t>
  </si>
  <si>
    <t>SW Project Safety Manager 
AP SW Tailoring: Resp: SQE</t>
  </si>
  <si>
    <t xml:space="preserve">May delegate the Safety Case creation and maintenance to Project Quality Engineer
Reviewer and approver
</t>
  </si>
  <si>
    <t xml:space="preserve">BL SW Safety Manager or SW Project Safety Manager in case safety plan is delegated;
AP SW Tailoring: Approver: Proj. Safety Manager
</t>
  </si>
  <si>
    <t>SW Project (Time) Schedule / Project Development Plan</t>
  </si>
  <si>
    <t>Part 2- 6.4.3</t>
  </si>
  <si>
    <t xml:space="preserve">Ensures that Project activities covers functional safety activities like requirements analysis, UML Design, coding, Testing
</t>
  </si>
  <si>
    <t>Part 6 -6, Part 8 - 6</t>
  </si>
  <si>
    <t>SW Architect / SW Tech Lead / Product Owner / Safety SW Architect</t>
  </si>
  <si>
    <t>ensures the software requirements   compliance with Part 6 - 6 and Part 8 - 6 ISO Clauses</t>
  </si>
  <si>
    <t>Another SW Architect / SW Tech Lead / Safety SW Architect</t>
  </si>
  <si>
    <t>Part 9 - 8</t>
  </si>
  <si>
    <t xml:space="preserve">SW Engineer </t>
  </si>
  <si>
    <t>Ensures the completion of the activity /delegated to SW Safety Architect</t>
  </si>
  <si>
    <t xml:space="preserve">SW Safety Architect or SW Project Safety Manager in case of high reuse from previous platforms
</t>
  </si>
  <si>
    <t>Part 6 -8</t>
  </si>
  <si>
    <t>SW Developer</t>
  </si>
  <si>
    <t>Ensures the completion of the activity /delegated to Tech Leader</t>
  </si>
  <si>
    <t xml:space="preserve">Another SW Developer / Tech lead
</t>
  </si>
  <si>
    <t>Part 6 -9, Part 6 -10</t>
  </si>
  <si>
    <t>SW Tester</t>
  </si>
  <si>
    <t>Ensures the completion of the activity /delegated to Test Leader</t>
  </si>
  <si>
    <t>Another SW Tester</t>
  </si>
  <si>
    <t>SW Safety Manual</t>
  </si>
  <si>
    <t>Part 6 -6</t>
  </si>
  <si>
    <t xml:space="preserve">SW Safety Architect
</t>
  </si>
  <si>
    <t>Ensures the completion of the activity / delegated to SW Architect / Tech Lead</t>
  </si>
  <si>
    <t xml:space="preserve">SW Safety Manager
</t>
  </si>
  <si>
    <t>SW Quality Assurance Plan</t>
  </si>
  <si>
    <t xml:space="preserve">Part 2 </t>
  </si>
  <si>
    <t>SW Quality Engineer</t>
  </si>
  <si>
    <t>Ensures the completion of the activity /delegated to Quality Leader</t>
  </si>
  <si>
    <t>Part 8- 11</t>
  </si>
  <si>
    <t>SW Project Safety Engineer</t>
  </si>
  <si>
    <t xml:space="preserve">Ensures the completion of this activity - delegates this to SW Safety Architect/Project Manager </t>
  </si>
  <si>
    <t>Part 2 Table 1, Table 2</t>
  </si>
  <si>
    <t>SW Functional Safety Expert (Assessor)</t>
  </si>
  <si>
    <t xml:space="preserve">Ensure the ISO26262 Confirmation Measures are  planed and executed </t>
  </si>
  <si>
    <t>SW Safety Manager</t>
  </si>
  <si>
    <t>DOORS</t>
  </si>
  <si>
    <t>Sharepoint (SP) / Other</t>
  </si>
  <si>
    <t>Jira / Git / Crucible</t>
  </si>
  <si>
    <t xml:space="preserve">Deliverable not specified by BCaM or merged with another one </t>
  </si>
  <si>
    <t xml:space="preserve">text written in green </t>
  </si>
  <si>
    <t>Functional Safety Manager</t>
  </si>
  <si>
    <t>text written in blue</t>
  </si>
  <si>
    <t xml:space="preserve">For projects related to Security </t>
  </si>
  <si>
    <t>Document status required (AMD)</t>
  </si>
  <si>
    <t>Document version at</t>
  </si>
  <si>
    <t>Impact Analysis - PCA</t>
  </si>
  <si>
    <t>CR row sequence</t>
  </si>
  <si>
    <t xml:space="preserve">Configuration Item </t>
  </si>
  <si>
    <t>Configuration Item File Name</t>
  </si>
  <si>
    <t>Description</t>
  </si>
  <si>
    <t>Responsible &amp; Owner</t>
  </si>
  <si>
    <t>Approver - AP SW Deliverables</t>
  </si>
  <si>
    <t>Location</t>
  </si>
  <si>
    <t>PCA &amp; PDA</t>
  </si>
  <si>
    <t>PPA</t>
  </si>
  <si>
    <t>EAR</t>
  </si>
  <si>
    <t>PRC / BETA</t>
  </si>
  <si>
    <t>RFP / RTM</t>
  </si>
  <si>
    <t>Document PDA Version</t>
  </si>
  <si>
    <t>Document PPA Version</t>
  </si>
  <si>
    <t>Document PRC Version</t>
  </si>
  <si>
    <t>Document RFP Version</t>
  </si>
  <si>
    <t>Action</t>
  </si>
  <si>
    <t>Original Work Product</t>
  </si>
  <si>
    <t>Version - Original Work Product</t>
  </si>
  <si>
    <t>Link (e.g.) - Original Work Product</t>
  </si>
  <si>
    <t>Rational / Justification for reused Work Product/ Main Activities</t>
  </si>
  <si>
    <t xml:space="preserve">Work Product Impact </t>
  </si>
  <si>
    <t>Link (e.g.) - latest available</t>
  </si>
  <si>
    <t>Review Evidence / Approved (Last)</t>
  </si>
  <si>
    <t>Sign off date (RTM only)</t>
  </si>
  <si>
    <t>Remarks</t>
  </si>
  <si>
    <t>Delivered for CR / SC / SO</t>
  </si>
  <si>
    <t>Add file name</t>
  </si>
  <si>
    <t>The SW Safety Concept is an analisys  based on the preliminary architecture and safety goals with the purpose of identifying the safety requirements for each element.</t>
  </si>
  <si>
    <t>another SW Safety Architect, SW Safety Expert or Safety Manager</t>
  </si>
  <si>
    <t>Git</t>
  </si>
  <si>
    <t>A</t>
  </si>
  <si>
    <t>New</t>
  </si>
  <si>
    <t>Low</t>
  </si>
  <si>
    <r>
      <t xml:space="preserve">CR, </t>
    </r>
    <r>
      <rPr>
        <sz val="10"/>
        <color rgb="FF00B050"/>
        <rFont val="Arial"/>
        <family val="2"/>
      </rPr>
      <t>SC,</t>
    </r>
    <r>
      <rPr>
        <sz val="10"/>
        <rFont val="Arial"/>
        <family val="2"/>
      </rPr>
      <t xml:space="preserve"> </t>
    </r>
    <r>
      <rPr>
        <sz val="10"/>
        <color rgb="FF0070C0"/>
        <rFont val="Arial"/>
        <family val="2"/>
      </rPr>
      <t>SO</t>
    </r>
  </si>
  <si>
    <t>SW Safety Plan (incl. ISO26262 tailoring)</t>
  </si>
  <si>
    <t>SW Safety Plan describes the safety activities required to achieve functional safety of the project. Integrated into BCaM7 Auto Process</t>
  </si>
  <si>
    <t>SW  Project Safety Manager 
AP SW Tailoring: Resp: SQE</t>
  </si>
  <si>
    <t>BL SW Safety Manager or SW Project Safety Manager in case safety plan is delegated;
AP SW Tailoring: Approver:Proj Safety Manager</t>
  </si>
  <si>
    <t>I</t>
  </si>
  <si>
    <t>U</t>
  </si>
  <si>
    <t>CarryOver</t>
  </si>
  <si>
    <t xml:space="preserve">pullrequest …. </t>
  </si>
  <si>
    <t xml:space="preserve">SW DIA
</t>
  </si>
  <si>
    <t xml:space="preserve">Agreement between customer and supplier regarding supplying ISO26262 compliant products
</t>
  </si>
  <si>
    <t>SW Project Safety Manager</t>
  </si>
  <si>
    <t>n/a</t>
  </si>
  <si>
    <t>CR</t>
  </si>
  <si>
    <t xml:space="preserve">SW Safety Case answers to ISO26262 requirements 
</t>
  </si>
  <si>
    <t>SW Safety Assessment Plan</t>
  </si>
  <si>
    <t xml:space="preserve">ISO26262 confirmation reviews and audits/assessment planned dates.
</t>
  </si>
  <si>
    <t xml:space="preserve">Evaluation of the tools used in SW development for addressing ISO 26262 "Confidence in the use of SW tools" requirements. </t>
  </si>
  <si>
    <t>Document describing safety assumptions i.e. safety requirements for customer</t>
  </si>
  <si>
    <t>Update</t>
  </si>
  <si>
    <r>
      <rPr>
        <sz val="10"/>
        <rFont val="Arial"/>
        <family val="2"/>
      </rPr>
      <t>CR,</t>
    </r>
    <r>
      <rPr>
        <sz val="10"/>
        <color rgb="FF0070C0"/>
        <rFont val="Arial"/>
        <family val="2"/>
      </rPr>
      <t xml:space="preserve"> SO</t>
    </r>
  </si>
  <si>
    <t>Analysis of failures modes effect on the software</t>
  </si>
  <si>
    <t>SW Engineer</t>
  </si>
  <si>
    <t>SW Safety Architect or SW Project Safety Manager in case of high reuse from previous platforms</t>
  </si>
  <si>
    <t>Requirements specification containing product requirements.
Describes the requirements related to security for the security scope(s) – such as e.g. crypto co-processors, secure boot firmware implementation etc. The scope description can be considered in different levels of detail in the respective documents (PRD - top level, HW/SW RS - detail level)</t>
  </si>
  <si>
    <t>SW Architect/ SW Tech Lead/Product Owner/Safety SW Architect</t>
  </si>
  <si>
    <t>another SW Architect/ SW Tech Lead/Safety SW Architect</t>
  </si>
  <si>
    <t>SW Architectural Specification contains a formal description of the conceptual model defining the structure, behaviour and more views of a product. 
The Security Concept/Architecture describes the security concept/architecture proposal considering the sub-systems of the product for HW &amp; SW.</t>
  </si>
  <si>
    <t>SW Architect</t>
  </si>
  <si>
    <t>another SW Architect/ SW Tech Lead</t>
  </si>
  <si>
    <t>SW Statement of Work (Customer-Supplier) (incl. ISO26262 DIA - Development Interface Agreement) (incl. list of requirements) - if applicable</t>
  </si>
  <si>
    <t xml:space="preserve">Agreement between customer and supplier regarding supplier product
</t>
  </si>
  <si>
    <t>SW Program Manager</t>
  </si>
  <si>
    <t>UML Design (Detailed description of the different components/modules of the design).
The Security Design Specification describes the detailed design for (the implementation of) the security scope(s).</t>
  </si>
  <si>
    <t>Another SW Developer / Tech Lead</t>
  </si>
  <si>
    <t>Project Management Plan containing detailed description of the project activities, deliverables, project stakeholders and project tailoring strategy.</t>
  </si>
  <si>
    <t>Project time-schedule</t>
  </si>
  <si>
    <t>SW Risk Assessment - Risk Register</t>
  </si>
  <si>
    <t>Project Risk Management plan used for documenting project risks and issues.</t>
  </si>
  <si>
    <t xml:space="preserve">SW Project Manager
</t>
  </si>
  <si>
    <r>
      <rPr>
        <sz val="10"/>
        <rFont val="Arial"/>
        <family val="2"/>
      </rPr>
      <t xml:space="preserve">CR, </t>
    </r>
    <r>
      <rPr>
        <sz val="10"/>
        <color rgb="FF00B050"/>
        <rFont val="Arial"/>
        <family val="2"/>
      </rPr>
      <t>SC</t>
    </r>
  </si>
  <si>
    <t>Design Failure Mode and Effect Analysis (DFMEA)
(non-safety related). 
To be deployed to new products started beginning of Q2 2018. The rest of the products ca transition over time, if the stage is not very late/architecture frozen long time ago.
Safety projects can combine it with Safety Analysis.</t>
  </si>
  <si>
    <t>SW Architect/SW Tech lead</t>
  </si>
  <si>
    <t>Another SW Architect/SW Tech lead</t>
  </si>
  <si>
    <t>9, 17</t>
  </si>
  <si>
    <t>SW Traceability Matrix (Requirements - Tests mapping). Note: for PCA, PDA, PPA traceability matrix will be the actual SRS</t>
  </si>
  <si>
    <t>DOORS Requirements specification analyzed for testability: Verification Criteria (VnV Method): Review/Validation</t>
  </si>
  <si>
    <t>another SW Developer</t>
  </si>
  <si>
    <t>Traceability Matrix containing requirement analysis result and requirements traceability to design elements, code elements and test cases.</t>
  </si>
  <si>
    <t xml:space="preserve">SW Developer </t>
  </si>
  <si>
    <t xml:space="preserve">another SW Developer </t>
  </si>
  <si>
    <r>
      <rPr>
        <sz val="10"/>
        <rFont val="Arial"/>
        <family val="2"/>
      </rPr>
      <t>CR,</t>
    </r>
    <r>
      <rPr>
        <sz val="10"/>
        <color rgb="FF00B050"/>
        <rFont val="Arial"/>
        <family val="2"/>
      </rPr>
      <t xml:space="preserve"> SC</t>
    </r>
  </si>
  <si>
    <t>Contains high level test approach</t>
  </si>
  <si>
    <t>SW Test Lead</t>
  </si>
  <si>
    <t>Test Specification containing description of test environment, test suites and test cases detailed description</t>
  </si>
  <si>
    <t>another SW Tester</t>
  </si>
  <si>
    <t>Test report containing test results</t>
  </si>
  <si>
    <t>System Test Results (eg S32 SDK S32K144 System Test Results: integration of RTOS, Middleware, LLD ..etc) - if applicable</t>
  </si>
  <si>
    <t>Source code files</t>
  </si>
  <si>
    <t>another SW Developer / Tech lead</t>
  </si>
  <si>
    <t>SW Lessons Learned (inc. Metrics results)
Note: green with actions and verify at next gate/MM; if not done for previous MM, it is red for the current MM.</t>
  </si>
  <si>
    <t>Issues, strengths found during release cycle</t>
  </si>
  <si>
    <t>User Manual</t>
  </si>
  <si>
    <t>User manual deiscribes e.g. modes of operation, registers description,setting, etc.</t>
  </si>
  <si>
    <t>Description of typical application</t>
  </si>
  <si>
    <t>Application Note (if applicable)</t>
  </si>
  <si>
    <t>Description of a specific application</t>
  </si>
  <si>
    <t>Integration Manual (if applicable)</t>
  </si>
  <si>
    <t>Integration manual</t>
  </si>
  <si>
    <t>Release Note</t>
  </si>
  <si>
    <t>Release Notes describing package installation instructions and release content</t>
  </si>
  <si>
    <t>Another SW Developer</t>
  </si>
  <si>
    <t>SW Export Control Classification (including checklist)</t>
  </si>
  <si>
    <t>Export Control Classification number assigned to project according Automotive Software Classification Checklist</t>
  </si>
  <si>
    <t>BU Auto Export Control approved for special ECCN cases.</t>
  </si>
  <si>
    <t>OSS Compliance report plus/or Software Content Registers
Note: 
At PDA: either SCR (open source/3rd party SW) or default approval in case of proprietary SW
At Releases: either SCR or Black Duck Report</t>
  </si>
  <si>
    <t>Open source policy compliance data that is maintained for each product, a collection of product information that is relevant to the evaluation and mitigation of open source related risks</t>
  </si>
  <si>
    <t>SW Architect/Tech Lead/SW REl Engineer / SW Engineer</t>
  </si>
  <si>
    <t>Trusted Advisor</t>
  </si>
  <si>
    <t>Release Readiness Review result inc. check of acceptance criteria</t>
  </si>
  <si>
    <t>SW Project Board (default approval, under BCAM7 Compliance Report)</t>
  </si>
  <si>
    <t>Certification - if applicable (User Manual, Reference Manual, Application Note, Release Note)</t>
  </si>
  <si>
    <t>External product certification, if applicable (e.g. LIN Stack certification)</t>
  </si>
  <si>
    <t>SW Project Estimates (WBS)</t>
  </si>
  <si>
    <t>SW Estimates for planned tasks, effort estimate for each task.</t>
  </si>
  <si>
    <t>A </t>
  </si>
  <si>
    <t>Detailed description of the configuration management plan including roles and responsibilities, tool used within the CM process, change management rules and activities.
Contains work model in GIT.</t>
  </si>
  <si>
    <t>SW Configuration Manager</t>
  </si>
  <si>
    <t>Configuration Items Plan and Report</t>
  </si>
  <si>
    <t>This document / sheet</t>
  </si>
  <si>
    <t>Report contains the review evidences, location, version type and sign-off date of the documents - This document / sheet</t>
  </si>
  <si>
    <t>another SW Quality Engineer</t>
  </si>
  <si>
    <t>Quality Assurance Plan constains quality assurance activities and quality goals.</t>
  </si>
  <si>
    <t>Static Analysis Report containing MISRA compliance check result</t>
  </si>
  <si>
    <t>another SW Engineer</t>
  </si>
  <si>
    <t xml:space="preserve">Code Coverage Reports containing the SC, DC, MC/DC results  </t>
  </si>
  <si>
    <t>SW Test Engineer</t>
  </si>
  <si>
    <t>another SW Test Engineer</t>
  </si>
  <si>
    <t>Requirements Management Plan (including security scope) (e.g. procedure is OK) (RMP)</t>
  </si>
  <si>
    <t>Requirements Management Plan containing project specific information regardind DNG or DOORS 9 and requirements management process</t>
  </si>
  <si>
    <t>Requirements Manager</t>
  </si>
  <si>
    <t xml:space="preserve">SW BCaM7 Compliance Report and Gate/Milestone Result notification and recommendation (incl. waiver overview and clean gate report,  Action and Decision Log (A&amp;D) and AMC); (email communication to Project Board. In case of major issues, when a meeting is triggered, "example presentation" is used)
</t>
  </si>
  <si>
    <t xml:space="preserve">Audit score based report. Recommendation for gate passing based on an independent check of project gate deliverables using checklists. Action and decision log of the gate/milestone meeting
</t>
  </si>
  <si>
    <t>SW Project Board (default approval)</t>
  </si>
  <si>
    <t>SW Product Brief</t>
  </si>
  <si>
    <t xml:space="preserve">Product description at the highest level (high level data sheet, customer view)
</t>
  </si>
  <si>
    <t>SW Architect/SW Tech Lead</t>
  </si>
  <si>
    <t xml:space="preserve">another SW Architect/SW Tech Lead or Product Owner
</t>
  </si>
  <si>
    <t>SW ISO26262 Confirmation Reviews for: 
a)safety plan, safety case and SW FMEA for ASIL B. (at PPA for safety plan, at RFP for the rest)
b)safety plan, safety case, SW FMEA and tools evaluation for ASIL C,D  (at PPA for safety plan, at EAR for FMEA and at RFP for the rest)
Note: The CR excel files need to be prepared by Project QAE for the current gate/MM. The audit itself can be completed as per the AMP SW Audit Plan.</t>
  </si>
  <si>
    <t>BL SW Safety Manager</t>
  </si>
  <si>
    <t>SW Functional Safety Audit Report (TUV SGS BU Auto Certification),SW Functional Safety Assessment Report</t>
  </si>
  <si>
    <t>BU Auto Corporate Quality Manager or  BL SW Safety Manager</t>
  </si>
  <si>
    <t xml:space="preserve">Report that gives a  judgement whether functional safety features implemented during the  development are achieved and to provide a recommendation for acceptance, conditional acceptance or rejection of the achieved functional safety. 
</t>
  </si>
  <si>
    <t xml:space="preserve">Document summarizing the product difference from a baseline product (a previous generation product, or a existing/previous generation product)
It contains all aspects including safety related and non-safety
It is high level indication of the product change, work products impact, and additional tasks to be finished from baseline product documentation. </t>
  </si>
  <si>
    <t>SC</t>
  </si>
  <si>
    <t>Test Code Package</t>
  </si>
  <si>
    <t>Test source code files</t>
  </si>
  <si>
    <t>Static Analysis Report containing HIS code metrics results</t>
  </si>
  <si>
    <t>Profiling and Size Reports</t>
  </si>
  <si>
    <t>Report contains profile data with regards of execution time (min, max, avrg).</t>
  </si>
  <si>
    <t>Code Size and Stack Usage Report (if applicable)</t>
  </si>
  <si>
    <t>Code Size and Stack Usage Report containing maximum and minimum values for the code size and stack usage measurements</t>
  </si>
  <si>
    <t xml:space="preserve">RAM Size Report </t>
  </si>
  <si>
    <t>Compiler Warning Report</t>
  </si>
  <si>
    <t>Compiler Warning report</t>
  </si>
  <si>
    <t>Internal SOW</t>
  </si>
  <si>
    <t xml:space="preserve">Release content, high level schedule, stakeholders </t>
  </si>
  <si>
    <t>PL Marketing, Program Manager</t>
  </si>
  <si>
    <t>N/A (RRR)</t>
  </si>
  <si>
    <t xml:space="preserve">Change Request (features, defects, code optimization) records
</t>
  </si>
  <si>
    <t>SW Engineer (Dev Team &amp; Test Team)</t>
  </si>
  <si>
    <t>Jira</t>
  </si>
  <si>
    <t>Formal review records</t>
  </si>
  <si>
    <t>Crucible/Pull request</t>
  </si>
  <si>
    <t>Security Review Report</t>
  </si>
  <si>
    <t>Contains review forms per gate &amp; milestone. At minimum, it contains the filled in Security Quick Scan, which is a pre-PCA deliverable to ascertain the security classification of the product and/or project, and therefore whether or not it will be subject to the Security Maturity Process.</t>
  </si>
  <si>
    <t>SW Program/ Project Manager</t>
  </si>
  <si>
    <t>Sharepoint</t>
  </si>
  <si>
    <t>Security Risk Assessment Report  (threat analysis)</t>
  </si>
  <si>
    <t>The Security Risk Assessment Report is provided in an appropriate format and provides a comprehensive assessment of all security threats (on system / HW / SW level) that are applicable to the product. Based on the Security risk assessment report the Vulnerability Analysis (VA) plan will be defined.</t>
  </si>
  <si>
    <t>Security Architect (SA)</t>
  </si>
  <si>
    <t>Vulnerability Analysis Plan (verification @ PPA, validation @ CES/PRC)</t>
  </si>
  <si>
    <t>The vulnerability analysis plan is provided in an appropriate format and is describing all activities that shall be performed in the course of the vulnerability analysis (VA) during project execution.</t>
  </si>
  <si>
    <t>Vulnerability Analyst (VA)</t>
  </si>
  <si>
    <t xml:space="preserve">Vulnerability Analysis Results (verification @TO/PRC, validation @RQ/RFP)
</t>
  </si>
  <si>
    <t xml:space="preserve">The Vulnerability Analysis Results are provided in an appropriate format and are providing comprehensive and consolidated information on the performed vulnerability tests as mandated by the Vulnerability Analysis Plan. </t>
  </si>
  <si>
    <t xml:space="preserve">ITSEF AVA Reports </t>
  </si>
  <si>
    <t>The report Assurance Vulnerability Analysis report is issued by an ITSEF laboratory hired for evaluation of the security product and describes the compliancy of the product with the requested AVA_VAN level 
AVA_VAN.1  resistance against basic attack potential
up to AVA_VAN.5  resistance against high attack potential</t>
  </si>
  <si>
    <t>Security Evaluation Engineer (SEE)</t>
  </si>
  <si>
    <t>ITSEF ETR Reports</t>
  </si>
  <si>
    <t>IT Security Evaluation Facility - Evaluation Test Report provided by the evaluation lab.</t>
  </si>
  <si>
    <t>Outsourcing Strategy/ Plan (incl. add supplier list, supplier reviews, supplier eval plans)</t>
  </si>
  <si>
    <t xml:space="preserve">Overview of Outsourced manufacturing and design activities with 3rd party suppliers
Examples of Outsourcing: External Manufacturing, Materials purchases, Die &amp; IP purchases, External Design Services, Co-development etc.
</t>
  </si>
  <si>
    <t>Certification Report</t>
  </si>
  <si>
    <t>Certification Report of the certification body also containing the product certificate.</t>
  </si>
  <si>
    <t>Process document</t>
  </si>
  <si>
    <t>Responsible</t>
  </si>
  <si>
    <t>Document Version</t>
  </si>
  <si>
    <t>Review Evidence / Approved</t>
  </si>
  <si>
    <t>Delivered for Configuration Items Report / Safety Case / Sign-Off</t>
  </si>
  <si>
    <t xml:space="preserve">AP SW Process - BU BCaM7 Process Adoption in AP BL
</t>
  </si>
  <si>
    <t>Procedures, templates and checklists included in AP SW process baseline</t>
  </si>
  <si>
    <t>Quality Engineer</t>
  </si>
  <si>
    <t>SW Quality Manager</t>
  </si>
  <si>
    <t xml:space="preserve">https://nxp1.sharepoint.com/:f:/r/sites/ampsoftware/Shared%20Documents/AMP%20SW%20Process%20-%20BU%20BCaM7%20Process%20Adoption%20in%20AMP%20BL?csf=1&amp;e=R4sICw </t>
  </si>
  <si>
    <t>Safety Case</t>
  </si>
  <si>
    <t>Coding Guideline containing the coding rules applicable for &lt;project name&gt; software project</t>
  </si>
  <si>
    <t>Quality Engineer &amp; Technical Leader</t>
  </si>
  <si>
    <t xml:space="preserve">Tehnical Leader/ SW Architect
</t>
  </si>
  <si>
    <t>GIT</t>
  </si>
  <si>
    <t>Design Guideline containing the design rules applicable for &lt;project name&gt; software project</t>
  </si>
  <si>
    <t xml:space="preserve">Competency Matrix contains the skill level required for a role and the actual skill level.
</t>
  </si>
  <si>
    <t>Team Manager</t>
  </si>
  <si>
    <t>ISO 9001 Certificate
ISO/TS 16949 Certificate</t>
  </si>
  <si>
    <t>LRQA</t>
  </si>
  <si>
    <t xml:space="preserve">https://nxp1.sharepoint.com/:f:/s/ampswqualitygroup/ErmxSVfOkm9LqAUx76kSVK8Bycx0oXkJkCH9sbB8owfVAQ?e=YvjYhX  </t>
  </si>
  <si>
    <t>Components</t>
  </si>
  <si>
    <t>Deliverables</t>
  </si>
  <si>
    <t>V1.0</t>
  </si>
  <si>
    <t>When creating the product Safety Case document, the following updates should be made for the project.</t>
  </si>
  <si>
    <t>1)      Document properties</t>
  </si>
  <si>
    <r>
      <t>·</t>
    </r>
    <r>
      <rPr>
        <sz val="7"/>
        <color theme="1"/>
        <rFont val="Times New Roman"/>
        <family val="1"/>
      </rPr>
      <t xml:space="preserve">         </t>
    </r>
    <r>
      <rPr>
        <b/>
        <sz val="11"/>
        <color theme="1"/>
        <rFont val="Times New Roman"/>
        <family val="1"/>
      </rPr>
      <t>Filename</t>
    </r>
    <r>
      <rPr>
        <sz val="11"/>
        <color theme="1"/>
        <rFont val="Times New Roman"/>
        <family val="1"/>
      </rPr>
      <t>: When the document is closed, right click the document and then select Properties from the menu. Update name to include the device part number (e.g. MPC5744P)</t>
    </r>
  </si>
  <si>
    <r>
      <t>·</t>
    </r>
    <r>
      <rPr>
        <sz val="7"/>
        <color theme="1"/>
        <rFont val="Times New Roman"/>
        <family val="1"/>
      </rPr>
      <t xml:space="preserve">         </t>
    </r>
    <r>
      <rPr>
        <b/>
        <sz val="11"/>
        <color theme="1"/>
        <rFont val="Times New Roman"/>
        <family val="1"/>
      </rPr>
      <t>Title</t>
    </r>
    <r>
      <rPr>
        <sz val="11"/>
        <color theme="1"/>
        <rFont val="Times New Roman"/>
        <family val="1"/>
      </rPr>
      <t>: Also in Properties, select the Details tab and update the Title field to include the device part number (e.g. MPC5744P)</t>
    </r>
  </si>
  <si>
    <r>
      <t>·</t>
    </r>
    <r>
      <rPr>
        <sz val="7"/>
        <color theme="1"/>
        <rFont val="Times New Roman"/>
        <family val="1"/>
      </rPr>
      <t xml:space="preserve">         </t>
    </r>
    <r>
      <rPr>
        <b/>
        <sz val="11"/>
        <color theme="1"/>
        <rFont val="Times New Roman"/>
        <family val="1"/>
      </rPr>
      <t>Subject</t>
    </r>
    <r>
      <rPr>
        <sz val="11"/>
        <color theme="1"/>
        <rFont val="Times New Roman"/>
        <family val="1"/>
      </rPr>
      <t>: Also in Properties, select the Details tab and update the Subject field to include the device part number (e.g. MPC5744P)</t>
    </r>
  </si>
  <si>
    <t>2)      Document Info tab</t>
  </si>
  <si>
    <r>
      <t>·</t>
    </r>
    <r>
      <rPr>
        <sz val="7"/>
        <color theme="1"/>
        <rFont val="Times New Roman"/>
        <family val="1"/>
      </rPr>
      <t xml:space="preserve">         </t>
    </r>
    <r>
      <rPr>
        <b/>
        <sz val="11"/>
        <color theme="1"/>
        <rFont val="Times New Roman"/>
        <family val="1"/>
      </rPr>
      <t>Document name</t>
    </r>
    <r>
      <rPr>
        <sz val="11"/>
        <color theme="1"/>
        <rFont val="Times New Roman"/>
        <family val="1"/>
      </rPr>
      <t>: Insert the device part number (e.g. MPC5744P)</t>
    </r>
  </si>
  <si>
    <r>
      <t>·</t>
    </r>
    <r>
      <rPr>
        <sz val="7"/>
        <color theme="1"/>
        <rFont val="Times New Roman"/>
        <family val="1"/>
      </rPr>
      <t xml:space="preserve">         </t>
    </r>
    <r>
      <rPr>
        <b/>
        <sz val="11"/>
        <color theme="1"/>
        <rFont val="Times New Roman"/>
        <family val="1"/>
      </rPr>
      <t>Author</t>
    </r>
    <r>
      <rPr>
        <sz val="11"/>
        <color theme="1"/>
        <rFont val="Times New Roman"/>
        <family val="1"/>
      </rPr>
      <t>: Fill in your name</t>
    </r>
  </si>
  <si>
    <r>
      <t>·</t>
    </r>
    <r>
      <rPr>
        <sz val="7"/>
        <color theme="1"/>
        <rFont val="Times New Roman"/>
        <family val="1"/>
      </rPr>
      <t xml:space="preserve">         </t>
    </r>
    <r>
      <rPr>
        <b/>
        <sz val="11"/>
        <color theme="1"/>
        <rFont val="Times New Roman"/>
        <family val="1"/>
      </rPr>
      <t>Version</t>
    </r>
    <r>
      <rPr>
        <sz val="11"/>
        <color theme="1"/>
        <rFont val="Times New Roman"/>
        <family val="1"/>
      </rPr>
      <t>: Fill in the version</t>
    </r>
  </si>
  <si>
    <r>
      <t>·</t>
    </r>
    <r>
      <rPr>
        <sz val="7"/>
        <color theme="1"/>
        <rFont val="Times New Roman"/>
        <family val="1"/>
      </rPr>
      <t xml:space="preserve">         </t>
    </r>
    <r>
      <rPr>
        <b/>
        <sz val="11"/>
        <color theme="1"/>
        <rFont val="Times New Roman"/>
        <family val="1"/>
      </rPr>
      <t>Approver</t>
    </r>
    <r>
      <rPr>
        <sz val="11"/>
        <color theme="1"/>
        <rFont val="Times New Roman"/>
        <family val="1"/>
      </rPr>
      <t>: Safety Manager</t>
    </r>
  </si>
  <si>
    <r>
      <t>·</t>
    </r>
    <r>
      <rPr>
        <sz val="7"/>
        <color theme="1"/>
        <rFont val="Times New Roman"/>
        <family val="1"/>
      </rPr>
      <t xml:space="preserve">         </t>
    </r>
    <r>
      <rPr>
        <b/>
        <sz val="11"/>
        <color theme="1"/>
        <rFont val="Times New Roman"/>
        <family val="1"/>
      </rPr>
      <t>Date</t>
    </r>
    <r>
      <rPr>
        <sz val="11"/>
        <color theme="1"/>
        <rFont val="Times New Roman"/>
        <family val="1"/>
      </rPr>
      <t>: Fill in the date of generation</t>
    </r>
  </si>
  <si>
    <t>3)      ISO 26262 Safety Case tab - Project Independent Tailoring</t>
  </si>
  <si>
    <r>
      <t>·</t>
    </r>
    <r>
      <rPr>
        <sz val="7"/>
        <color theme="1"/>
        <rFont val="Times New Roman"/>
        <family val="1"/>
      </rPr>
      <t xml:space="preserve">         </t>
    </r>
    <r>
      <rPr>
        <sz val="11"/>
        <color theme="1"/>
        <rFont val="Times New Roman"/>
        <family val="1"/>
      </rPr>
      <t xml:space="preserve">Select in cell H1 </t>
    </r>
    <r>
      <rPr>
        <b/>
        <sz val="11"/>
        <color theme="1"/>
        <rFont val="Times New Roman"/>
        <family val="1"/>
      </rPr>
      <t>SEooC Tailoring</t>
    </r>
    <r>
      <rPr>
        <sz val="11"/>
        <color theme="1"/>
        <rFont val="Times New Roman"/>
        <family val="1"/>
      </rPr>
      <t xml:space="preserve">, either </t>
    </r>
    <r>
      <rPr>
        <b/>
        <sz val="11"/>
        <color theme="1"/>
        <rFont val="Times New Roman"/>
        <family val="1"/>
      </rPr>
      <t>HW or SW</t>
    </r>
  </si>
  <si>
    <r>
      <t>·</t>
    </r>
    <r>
      <rPr>
        <sz val="7"/>
        <color theme="1"/>
        <rFont val="Times New Roman"/>
        <family val="1"/>
      </rPr>
      <t xml:space="preserve">         </t>
    </r>
    <r>
      <rPr>
        <sz val="11"/>
        <color theme="1"/>
        <rFont val="Times New Roman"/>
        <family val="1"/>
      </rPr>
      <t xml:space="preserve">Select in cell H2 </t>
    </r>
    <r>
      <rPr>
        <b/>
        <sz val="11"/>
        <color theme="1"/>
        <rFont val="Times New Roman"/>
        <family val="1"/>
      </rPr>
      <t>ASIL Tailoring</t>
    </r>
    <r>
      <rPr>
        <sz val="11"/>
        <color theme="1"/>
        <rFont val="Times New Roman"/>
        <family val="1"/>
      </rPr>
      <t xml:space="preserve">, either </t>
    </r>
    <r>
      <rPr>
        <b/>
        <sz val="11"/>
        <color theme="1"/>
        <rFont val="Times New Roman"/>
        <family val="1"/>
      </rPr>
      <t>ASIL A, ASIL B, ASIL C or ASIL D</t>
    </r>
  </si>
  <si>
    <t>4)      ISO 26262 Safety Case tab - Project Tailoring</t>
  </si>
  <si>
    <r>
      <t>·</t>
    </r>
    <r>
      <rPr>
        <sz val="7"/>
        <color theme="1"/>
        <rFont val="Times New Roman"/>
        <family val="1"/>
      </rPr>
      <t xml:space="preserve">         </t>
    </r>
    <r>
      <rPr>
        <sz val="11"/>
        <color theme="1"/>
        <rFont val="Times New Roman"/>
        <family val="1"/>
      </rPr>
      <t xml:space="preserve">In column M and N, titled </t>
    </r>
    <r>
      <rPr>
        <b/>
        <sz val="11"/>
        <color theme="1"/>
        <rFont val="Times New Roman"/>
        <family val="1"/>
      </rPr>
      <t>Project Tailoring</t>
    </r>
    <r>
      <rPr>
        <sz val="11"/>
        <color theme="1"/>
        <rFont val="Times New Roman"/>
        <family val="1"/>
      </rPr>
      <t xml:space="preserve">, enter any project specific tailoring based on input from either an </t>
    </r>
    <r>
      <rPr>
        <b/>
        <sz val="11"/>
        <color theme="1"/>
        <rFont val="Times New Roman"/>
        <family val="1"/>
      </rPr>
      <t>Impact Analysis</t>
    </r>
    <r>
      <rPr>
        <sz val="11"/>
        <color theme="1"/>
        <rFont val="Times New Roman"/>
        <family val="1"/>
      </rPr>
      <t xml:space="preserve"> or </t>
    </r>
    <r>
      <rPr>
        <b/>
        <sz val="11"/>
        <color theme="1"/>
        <rFont val="Times New Roman"/>
        <family val="1"/>
      </rPr>
      <t>DIA</t>
    </r>
  </si>
  <si>
    <t>5)     ISO 26262 Safety Case tab - Initial project customization</t>
  </si>
  <si>
    <r>
      <t>·</t>
    </r>
    <r>
      <rPr>
        <sz val="7"/>
        <color theme="1"/>
        <rFont val="Times New Roman"/>
        <family val="1"/>
      </rPr>
      <t xml:space="preserve">         </t>
    </r>
    <r>
      <rPr>
        <sz val="11"/>
        <color theme="1"/>
        <rFont val="Times New Roman"/>
        <family val="1"/>
      </rPr>
      <t xml:space="preserve">Enter the </t>
    </r>
    <r>
      <rPr>
        <b/>
        <sz val="11"/>
        <color theme="1"/>
        <rFont val="Times New Roman"/>
        <family val="1"/>
      </rPr>
      <t>silicon revision</t>
    </r>
    <r>
      <rPr>
        <sz val="11"/>
        <color theme="1"/>
        <rFont val="Times New Roman"/>
        <family val="1"/>
      </rPr>
      <t xml:space="preserve"> in cell M1 (Enter NA for SW)</t>
    </r>
  </si>
  <si>
    <r>
      <t>·</t>
    </r>
    <r>
      <rPr>
        <sz val="7"/>
        <color theme="1"/>
        <rFont val="Times New Roman"/>
        <family val="1"/>
      </rPr>
      <t xml:space="preserve">         </t>
    </r>
    <r>
      <rPr>
        <sz val="11"/>
        <color theme="1"/>
        <rFont val="Times New Roman"/>
        <family val="1"/>
      </rPr>
      <t xml:space="preserve">Enter the </t>
    </r>
    <r>
      <rPr>
        <b/>
        <sz val="11"/>
        <color theme="1"/>
        <rFont val="Times New Roman"/>
        <family val="1"/>
      </rPr>
      <t>mask set revision</t>
    </r>
    <r>
      <rPr>
        <sz val="11"/>
        <color theme="1"/>
        <rFont val="Times New Roman"/>
        <family val="1"/>
      </rPr>
      <t xml:space="preserve"> in cell M2 (Enter NA for SW)</t>
    </r>
  </si>
  <si>
    <r>
      <t>·</t>
    </r>
    <r>
      <rPr>
        <sz val="7"/>
        <color theme="1"/>
        <rFont val="Times New Roman"/>
        <family val="1"/>
      </rPr>
      <t xml:space="preserve">         </t>
    </r>
    <r>
      <rPr>
        <b/>
        <sz val="11"/>
        <color theme="1"/>
        <rFont val="Times New Roman"/>
        <family val="1"/>
      </rPr>
      <t>Safety Case sheet</t>
    </r>
    <r>
      <rPr>
        <sz val="11"/>
        <color theme="1"/>
        <rFont val="Times New Roman"/>
        <family val="1"/>
      </rPr>
      <t xml:space="preserve"> &amp; </t>
    </r>
    <r>
      <rPr>
        <b/>
        <sz val="11"/>
        <color theme="1"/>
        <rFont val="Times New Roman"/>
        <family val="1"/>
      </rPr>
      <t xml:space="preserve">Sign Off Checklist sheet </t>
    </r>
    <r>
      <rPr>
        <sz val="11"/>
        <color theme="1"/>
        <rFont val="Times New Roman"/>
        <family val="1"/>
      </rPr>
      <t>will be completed, reviewed &amp; approved at each RFP / RTM phase.</t>
    </r>
  </si>
  <si>
    <r>
      <t>·</t>
    </r>
    <r>
      <rPr>
        <sz val="7"/>
        <color theme="1"/>
        <rFont val="Times New Roman"/>
        <family val="1"/>
      </rPr>
      <t xml:space="preserve">         </t>
    </r>
    <r>
      <rPr>
        <sz val="11"/>
        <color theme="1"/>
        <rFont val="Times New Roman"/>
        <family val="1"/>
      </rPr>
      <t>Enter the C</t>
    </r>
    <r>
      <rPr>
        <b/>
        <sz val="11"/>
        <color theme="1"/>
        <rFont val="Times New Roman"/>
        <family val="1"/>
      </rPr>
      <t>onfiguration Item Baseline (CIB) sheet</t>
    </r>
    <r>
      <rPr>
        <sz val="11"/>
        <color theme="1"/>
        <rFont val="Times New Roman"/>
        <family val="1"/>
      </rPr>
      <t xml:space="preserve"> for the project (hyperlink in cell N1), update CIB Deliverables sheet for the project &amp; release (BCaM gate)</t>
    </r>
  </si>
  <si>
    <t>6)      Guidelines to update the CIB Deliverables sheet</t>
  </si>
  <si>
    <r>
      <t>·</t>
    </r>
    <r>
      <rPr>
        <sz val="7"/>
        <color theme="1"/>
        <rFont val="Times New Roman"/>
        <family val="1"/>
      </rPr>
      <t xml:space="preserve">         </t>
    </r>
    <r>
      <rPr>
        <sz val="11"/>
        <color theme="1"/>
        <rFont val="Times New Roman"/>
        <family val="1"/>
      </rPr>
      <t>During the progression of the project, the CIB Deliverables sheet should be updated at minimum at each phase gate and major milestone. This includes referencing the latest configuration baseline for the project (= the name of the sheet at row 7) as well as updating the deliverables location (column R), versions, review / approval evidences, sign-off dates, remarks where necessary.</t>
    </r>
  </si>
  <si>
    <r>
      <t>·</t>
    </r>
    <r>
      <rPr>
        <sz val="11"/>
        <color theme="1"/>
        <rFont val="Times New Roman"/>
        <family val="1"/>
      </rPr>
      <t>       Filter out required gate / release deliverables. If it's not initial document version, review all enteries made in the CIB Deliverables sheet that have phase gates prior to the current phase gate or milestone.</t>
    </r>
  </si>
  <si>
    <r>
      <t>·</t>
    </r>
    <r>
      <rPr>
        <sz val="11"/>
        <color theme="1"/>
        <rFont val="Times New Roman"/>
        <family val="1"/>
      </rPr>
      <t>        If some deliverable will be missing the reason would be remarked (e.g. N/A, Not delivered, Not complete,…)</t>
    </r>
  </si>
  <si>
    <r>
      <t>·</t>
    </r>
    <r>
      <rPr>
        <sz val="7"/>
        <color theme="1"/>
        <rFont val="Times New Roman"/>
        <family val="1"/>
      </rPr>
      <t>       </t>
    </r>
    <r>
      <rPr>
        <sz val="11"/>
        <color theme="1"/>
        <rFont val="Times New Roman"/>
        <family val="1"/>
      </rPr>
      <t> </t>
    </r>
    <r>
      <rPr>
        <b/>
        <sz val="11"/>
        <color theme="1"/>
        <rFont val="Times New Roman"/>
        <family val="1"/>
      </rPr>
      <t>Changes between production revisions</t>
    </r>
    <r>
      <rPr>
        <sz val="11"/>
        <color theme="1"/>
        <rFont val="Times New Roman"/>
        <family val="1"/>
      </rPr>
      <t>. It is very important to be able to see in the CIB Deliverables sheet exactly which deliverables changed from one production silicon cut or SW release to the next. This forms the basis of the delta safety assessment.</t>
    </r>
  </si>
  <si>
    <t>8)      Guidelines to update the Sign Off Checklist</t>
  </si>
  <si>
    <r>
      <t>·</t>
    </r>
    <r>
      <rPr>
        <sz val="7"/>
        <color theme="1"/>
        <rFont val="Times New Roman"/>
        <family val="1"/>
      </rPr>
      <t>       </t>
    </r>
    <r>
      <rPr>
        <sz val="11"/>
        <color theme="1"/>
        <rFont val="Times New Roman"/>
        <family val="1"/>
      </rPr>
      <t> </t>
    </r>
    <r>
      <rPr>
        <b/>
        <sz val="11"/>
        <color theme="1"/>
        <rFont val="Times New Roman"/>
        <family val="1"/>
      </rPr>
      <t>Sign Off Checklist sheet</t>
    </r>
    <r>
      <rPr>
        <sz val="11"/>
        <color theme="1"/>
        <rFont val="Times New Roman"/>
        <family val="1"/>
      </rPr>
      <t>. Add the project name (see row 2)</t>
    </r>
  </si>
  <si>
    <r>
      <t>·</t>
    </r>
    <r>
      <rPr>
        <sz val="7"/>
        <color theme="1"/>
        <rFont val="Times New Roman"/>
        <family val="1"/>
      </rPr>
      <t>       </t>
    </r>
    <r>
      <rPr>
        <sz val="11"/>
        <color theme="1"/>
        <rFont val="Times New Roman"/>
        <family val="1"/>
      </rPr>
      <t> </t>
    </r>
    <r>
      <rPr>
        <b/>
        <sz val="11"/>
        <color theme="1"/>
        <rFont val="Times New Roman"/>
        <family val="1"/>
      </rPr>
      <t>Sign Off Checklist sheet</t>
    </r>
    <r>
      <rPr>
        <sz val="11"/>
        <color theme="1"/>
        <rFont val="Times New Roman"/>
        <family val="1"/>
      </rPr>
      <t xml:space="preserve">. Add in the column C, row 4-11, the information required (Product Name, Release Type and Version Name, Release Date, Safety Manager, Project Manager, Liaison Team Manager, Project Quality Engineer, Quality Manager)
</t>
    </r>
  </si>
  <si>
    <r>
      <t>·</t>
    </r>
    <r>
      <rPr>
        <sz val="7"/>
        <color theme="1"/>
        <rFont val="Times New Roman"/>
        <family val="1"/>
      </rPr>
      <t>       </t>
    </r>
    <r>
      <rPr>
        <sz val="11"/>
        <color theme="1"/>
        <rFont val="Times New Roman"/>
        <family val="1"/>
      </rPr>
      <t> </t>
    </r>
    <r>
      <rPr>
        <b/>
        <sz val="11"/>
        <color theme="1"/>
        <rFont val="Times New Roman"/>
        <family val="1"/>
      </rPr>
      <t>Sign Off Checklist sheet</t>
    </r>
    <r>
      <rPr>
        <sz val="11"/>
        <color theme="1"/>
        <rFont val="Times New Roman"/>
        <family val="1"/>
      </rPr>
      <t>. Column D, H, I will be automated filled in with the information from  Configuration Item Baseline (CIB) sheet. Do a short check to ensure that all columns are filled in.</t>
    </r>
  </si>
  <si>
    <t>9)      Guidelines to update Components sheet</t>
  </si>
  <si>
    <r>
      <t>·</t>
    </r>
    <r>
      <rPr>
        <sz val="7"/>
        <color theme="1"/>
        <rFont val="Times New Roman"/>
        <family val="1"/>
      </rPr>
      <t>       </t>
    </r>
    <r>
      <rPr>
        <sz val="11"/>
        <color theme="1"/>
        <rFont val="Times New Roman"/>
        <family val="1"/>
      </rPr>
      <t> </t>
    </r>
    <r>
      <rPr>
        <b/>
        <sz val="11"/>
        <color theme="1"/>
        <rFont val="Times New Roman"/>
        <family val="1"/>
      </rPr>
      <t>Components sheet</t>
    </r>
    <r>
      <rPr>
        <sz val="11"/>
        <color theme="1"/>
        <rFont val="Times New Roman"/>
        <family val="1"/>
      </rPr>
      <t>. Column A will be replace with the component name</t>
    </r>
  </si>
  <si>
    <r>
      <t>·</t>
    </r>
    <r>
      <rPr>
        <sz val="7"/>
        <color theme="1"/>
        <rFont val="Times New Roman"/>
        <family val="1"/>
      </rPr>
      <t>       </t>
    </r>
    <r>
      <rPr>
        <sz val="11"/>
        <color theme="1"/>
        <rFont val="Times New Roman"/>
        <family val="1"/>
      </rPr>
      <t> </t>
    </r>
    <r>
      <rPr>
        <b/>
        <sz val="11"/>
        <color theme="1"/>
        <rFont val="Times New Roman"/>
        <family val="1"/>
      </rPr>
      <t>Components sheet</t>
    </r>
    <r>
      <rPr>
        <sz val="11"/>
        <color theme="1"/>
        <rFont val="Times New Roman"/>
        <family val="1"/>
      </rPr>
      <t xml:space="preserve">. For each deliverables will be fill in the required information from column B at minimum </t>
    </r>
  </si>
  <si>
    <t>Abbreviation</t>
  </si>
  <si>
    <t>AMC</t>
  </si>
  <si>
    <t>Automotive Master Checklist</t>
  </si>
  <si>
    <t>AMD</t>
  </si>
  <si>
    <t xml:space="preserve">Automotive Master Deliverable </t>
  </si>
  <si>
    <t>Automotive Safety Integrity Level</t>
  </si>
  <si>
    <t>CIB</t>
  </si>
  <si>
    <t>Configuration Items Baseline</t>
  </si>
  <si>
    <t>BCaM7 Compliance Report</t>
  </si>
  <si>
    <t>HW</t>
  </si>
  <si>
    <t>Hardware</t>
  </si>
  <si>
    <t>Safety Element out of Context</t>
  </si>
  <si>
    <t>SO</t>
  </si>
  <si>
    <t>Sign-off Checklist</t>
  </si>
  <si>
    <t>Software</t>
  </si>
  <si>
    <t>ASIL A</t>
  </si>
  <si>
    <t>ASIL B</t>
  </si>
  <si>
    <t>ASIL C</t>
  </si>
  <si>
    <t>ASIL D</t>
  </si>
  <si>
    <t>N.A</t>
  </si>
  <si>
    <t xml:space="preserve">The Assessment plan is already updated with BMS SDK releases
</t>
  </si>
  <si>
    <t>SW Safety Manual was update according with the new naming convention</t>
  </si>
  <si>
    <t xml:space="preserve">There are no changes in the SW FMEA. 
</t>
  </si>
  <si>
    <t xml:space="preserve">There are no changes in the SW Architectural Specifications </t>
  </si>
  <si>
    <t xml:space="preserve">There are no changes in the Detailed Design
</t>
  </si>
  <si>
    <t xml:space="preserve">There are no changes in the Risk Register
</t>
  </si>
  <si>
    <t xml:space="preserve">DFMEA was performed for each component; </t>
  </si>
  <si>
    <t xml:space="preserve">There are no changes in the TM
</t>
  </si>
  <si>
    <t>There are no changes in the source code</t>
  </si>
  <si>
    <t>There are no changes in the LL</t>
  </si>
  <si>
    <t xml:space="preserve">There are no changes in the User Manual only the release name was changed </t>
  </si>
  <si>
    <t xml:space="preserve">There are no changes in the Integration Manual only the release name was changed </t>
  </si>
  <si>
    <t xml:space="preserve">There are no changes in the Release Notes only the release name was changed </t>
  </si>
  <si>
    <t xml:space="preserve">There are no changes in the SCR report and BD report only the release name was changed </t>
  </si>
  <si>
    <t xml:space="preserve">There are no changes in the RRR only the release name was changed </t>
  </si>
  <si>
    <t>There are no changes in the SCMP</t>
  </si>
  <si>
    <t>There are no changes in the SQAP</t>
  </si>
  <si>
    <t>There are no changes in the RMP</t>
  </si>
  <si>
    <t xml:space="preserve">There are no changes in the MISRA only the release name was changed </t>
  </si>
  <si>
    <t xml:space="preserve">There are no changes in the Code Coverage only the release name was changed </t>
  </si>
  <si>
    <t xml:space="preserve">There are no changes in the Test Code Package only the release name was changed </t>
  </si>
  <si>
    <t xml:space="preserve">There are no changes in the HIS report  only the release name was changed </t>
  </si>
  <si>
    <t xml:space="preserve">There are no changes in the Size Report only the release name was changed </t>
  </si>
  <si>
    <t xml:space="preserve">There are no changes in the Code Size only the release name was changed </t>
  </si>
  <si>
    <t xml:space="preserve">There are no changes in the RAM Size only the release name was changed </t>
  </si>
  <si>
    <t xml:space="preserve">There are no changes in the Compiler Warning only the release name was changed </t>
  </si>
  <si>
    <t xml:space="preserve">There are no changes in the Internal SOW only the release name was changed </t>
  </si>
  <si>
    <t>There are no changes in the JIRA tickets</t>
  </si>
  <si>
    <t>https://bitbucket.sw.nxp.com/projects/ASPA/repos/real_time_drivers/browse/AA%20SW%20Solutions/Safety%20Cases</t>
  </si>
  <si>
    <t>https://nxp1.sharepoint.com/:x:/r/sites/ampswqualitygroup/Shared%20Documents/Audits/Audits%20%26%20Assessments/AP%20SW%20ISO26262%20Assessment%20Plan.xlsx?d=wf5133dddc7114594bc598c2a18c267cf&amp;csf=1&amp;web=1&amp;e=0iBRaq</t>
  </si>
  <si>
    <t>AP SW ISO26262 Assessment Plan.xlsx</t>
  </si>
  <si>
    <t>S32K3_BMS_SDK_CDD_4.4_0.8.0_Safety_Manual.pdf</t>
  </si>
  <si>
    <t>https://bitbucket.sw.nxp.com/projects/ARTD/repos/releases/browse/safety_manual/S32K344_extdevices/S32K3_BMS_SDK_CDD_4.4_0.8.0_Safety_Manual.pdf</t>
  </si>
  <si>
    <t>RTD_BCC_775A_FMEA.xlsx
RTD_BCC_772C_FMEA.xlsx
RTD_PHY_665A_FMEA.xlsx</t>
  </si>
  <si>
    <t>See Components sheet</t>
  </si>
  <si>
    <t>RTD_BCC_775A_SDD.eap
RTD_BCC_772C_SDD.eap
RTD_PHY_665A_SDD.eap</t>
  </si>
  <si>
    <t xml:space="preserve">RTD_BCC_775A_SDD.eap
RTD_BCC_772C_SDD.eap
RTD_PHY_665A_SDD.eap
</t>
  </si>
  <si>
    <t>S32K3_BMS_SDK_4.4_0.8.0</t>
  </si>
  <si>
    <t xml:space="preserve">S32K3_BMS_SDK_4.4_0.8.0
</t>
  </si>
  <si>
    <t>https://nxp1.sharepoint.com/:x:/r/sites/AAGPISSWSolutions/Shared%20Documents/00_ProjectManagement/Schedule/ExtDevicesSchedule.xlsx?d=w57eb3b35757b4958a9dda7871c000c29&amp;csf=1&amp;web=1&amp;e=IJ9E7b</t>
  </si>
  <si>
    <t>DFMEA_775A_CDD.xlsm
DFMEA_772C_CDD.xlsm
DFMEA_PHY665A_EB.xlsm</t>
  </si>
  <si>
    <t>RTD_BCC_775A_TM.txt
RTD_BCC_772C_TM.txt
RTD_PHY_665A_TM.txt</t>
  </si>
  <si>
    <t>test_bcc_775a
test_bcc_772c
test_phy_665a</t>
  </si>
  <si>
    <t>RTD_BCC_775A_SummaryTestReport.html
RTD_BCC_772C_SummaryTestReport.html
RTD_PHY_665A_SummaryTestReport.html</t>
  </si>
  <si>
    <t>bcc_775a
bcc_772c
phy_665a</t>
  </si>
  <si>
    <t>Source Code Binaries</t>
  </si>
  <si>
    <t>https://nxp1.sharepoint.com/:x:/r/sites/AAGPISSWSolutions/Shared%20Documents/00_ProjectManagement/AASW_Lessons_Learned.xlsx?d=w3d51ee5745f148cdb75f34a1ec876706&amp;csf=1&amp;web=1&amp;e=WKorOA</t>
  </si>
  <si>
    <t>AASW_Lessons_Learned.xlsx</t>
  </si>
  <si>
    <t>V1.27</t>
  </si>
  <si>
    <t>RTD_BCC_775A_UM.pdf
RTD_BCC_772C_UM.pdf
RTD_PHY_665A_UM.pdf</t>
  </si>
  <si>
    <t xml:space="preserve">RTD_BCC_775A_IM.pdf
RTD_BCC_772C_IM.pdf
RTD_PHY_665A_IM.pdf
</t>
  </si>
  <si>
    <t>RTD_BCC_775A_IM.pdf
RTD_BCC_772C_IM.pdf
RTD_PHY_665A_IM.pdf</t>
  </si>
  <si>
    <t>Integration Manual</t>
  </si>
  <si>
    <t>https://bitbucket.sw.nxp.com/projects/ARTD/repos/releases/browse/SW32K3_BMS_SDK_4.4_0.8.0_D2205/SW32K3_BMS_SDK_4.4_0.8.0_D2205_Release_Notes.pdf</t>
  </si>
  <si>
    <t>SW32K3_BMS_SDK_4.4_0.8.0_D2205_Release_Notes.pdf</t>
  </si>
  <si>
    <t>SW32K3_BMS_SDK_4.4_0.8.0_SCR.txt
SW32K3_BMS_SDK_44_080_D2205.xlsx</t>
  </si>
  <si>
    <t xml:space="preserve">https://bitbucket.sw.nxp.com/projects/ARTD/repos/releases/browse/SW32K3_BMS_SDK_4.4_0.8.0_D2205
</t>
  </si>
  <si>
    <t>https://bitbucket.sw.nxp.com/projects/ARTD/repos/releases/browse/SW32K3_BMS_SDK_4.4_0.8.0_D2205</t>
  </si>
  <si>
    <t>BL_AP_SW_BCaM7_Compliance_and_RRR_BMS_SDK_0.8.0.xlsx</t>
  </si>
  <si>
    <t>https://bitbucket.sw.nxp.com/projects/ASPA/repos/real_time_drivers/browse/AA%20SW%20Solutions</t>
  </si>
  <si>
    <t xml:space="preserve">https://bitbucket.sw.nxp.com/projects/ASPA/repos/real_time_drivers/browse/AA%20SW%20Solutions/Safety%20Cases
</t>
  </si>
  <si>
    <t>RTD_AASWS_Quality_Assurance_Plan.docx</t>
  </si>
  <si>
    <t>https://bitbucket.sw.nxp.com/projects/ASPA/repos/real_time_drivers/browse/Generic/Quality%20Assurance/RTD_AASWS_Quality_Assurance_Plan.docx</t>
  </si>
  <si>
    <t>RTD_BCC_775A_MisraReport.xlsx
RTD_BCC_772C_MisraReport.xlsx
RTD_PHY_665A_MisraReport.xlsx</t>
  </si>
  <si>
    <t xml:space="preserve">Not in scope for EAR . </t>
  </si>
  <si>
    <t>RTD_BCC_775A_HISReport.xlsx
RTD_BCC_772C_HISReport.xlsx
RTD_PHY_665A_HISReport.xlsx</t>
  </si>
  <si>
    <t>https://nxp1.sharepoint.com/:w:/r/sites/AAGPISSWSolutions/Shared%20Documents/00_ProjectManagement/SOW/BMS%20SDK%200.8.0.docx?d=w3238af6502464be489fe2ab655655c7d&amp;csf=1&amp;web=1&amp;e=YmgDqX</t>
  </si>
  <si>
    <t>BMS SDK 0.8.0.docx</t>
  </si>
  <si>
    <t>Pull Request</t>
  </si>
  <si>
    <t>New Product to be developped</t>
  </si>
  <si>
    <t>Project:</t>
  </si>
  <si>
    <t>Project name</t>
  </si>
  <si>
    <t>ASIL targeted</t>
  </si>
  <si>
    <t>Base Product for Impact Analysis</t>
  </si>
  <si>
    <t xml:space="preserve">ASIL </t>
  </si>
  <si>
    <t xml:space="preserve">
</t>
  </si>
  <si>
    <t>No.</t>
  </si>
  <si>
    <t>Describe the change</t>
  </si>
  <si>
    <t>Rationale for the Change</t>
  </si>
  <si>
    <t xml:space="preserve"> Potential Impact</t>
  </si>
  <si>
    <t>Safety Concern</t>
  </si>
  <si>
    <t>modification or enhancement from previous generation product</t>
  </si>
  <si>
    <t>Due to Customer requirement / Lesson Learn / Product enhancement, etc</t>
  </si>
  <si>
    <t>Functional Impact</t>
  </si>
  <si>
    <t>Performance Impact</t>
  </si>
  <si>
    <t>Use Case (SG/Context/Assumptions)</t>
  </si>
  <si>
    <t>Architecture Impact</t>
  </si>
  <si>
    <t>Yes / No</t>
  </si>
  <si>
    <t>Safety_Case_RFE_SW_PDA</t>
  </si>
  <si>
    <t>Updated the safety case for the RFE SW</t>
  </si>
  <si>
    <t>Rashmi K C</t>
  </si>
  <si>
    <t>V0.1</t>
  </si>
  <si>
    <t>Configuration Items Baseline for RFE SW</t>
  </si>
  <si>
    <t>No updates in the Tools, or no new tools</t>
  </si>
  <si>
    <t>There are no changes in the Process</t>
  </si>
  <si>
    <t>As per the BL AP process, no changes</t>
  </si>
  <si>
    <t>https://bitbucket.sw.nxp.com/projects/STRX/repos/rfe/browse/docs/Functional_Safety/RFE_SW_Tool_Eval_Qualificaion.xlsx</t>
  </si>
  <si>
    <t>https://bitbucket.sw.nxp.com/projects/STRX/repos/rfe/browse/docs/Project_Management/RFE_SW_Project_Management_Plan_(Safety_Plan).docx</t>
  </si>
  <si>
    <t>not applicable for SW</t>
  </si>
  <si>
    <t>They are mainatained at the overall</t>
  </si>
  <si>
    <t>https://www.collabnet.nxp.com/sf/go/doc497619?nav=1&amp;pagenum=1&amp;pagesize=15</t>
  </si>
  <si>
    <t>https://www.collabnet.nxp.com/sf/go/doc347376?nav=1&amp;pagenum=1&amp;pagesize=15</t>
  </si>
  <si>
    <t>V 34</t>
  </si>
  <si>
    <t>V34</t>
  </si>
  <si>
    <t>NA</t>
  </si>
  <si>
    <t>Document EAR  Version</t>
  </si>
  <si>
    <t>https://nxp1.sharepoint.com/:p:/r/teams/206_16/Shared%20Documents/STRX/ProjectPlanning/SmartTRX-SW-Release_Plan.pptx?d=w66359171ff084fabb1998bd8103f9334&amp;csf=1&amp;web=1&amp;e=9aKmrX</t>
  </si>
  <si>
    <t xml:space="preserve">No Chang in the Release documents, only the release schedule gets updated
</t>
  </si>
  <si>
    <t>V8 (16.06.2022)</t>
  </si>
  <si>
    <t>RFE SW Project Management Plan</t>
  </si>
  <si>
    <t>https://bitbucket.sw.nxp.com/projects/STRX/repos/rfe/browse/docs/Functional_Safety</t>
  </si>
  <si>
    <t xml:space="preserve">Common Project  Plan used for RFE SW for all STRX variants
There are no changes;
</t>
  </si>
  <si>
    <t>STRX_Remote_SW_RFE_SafetyCase_Imp_Ana</t>
  </si>
  <si>
    <t>Pull Requests - Crucible reviews</t>
  </si>
  <si>
    <t>NA for PDA - Overall OGC applicable</t>
  </si>
  <si>
    <t>All tickets related to the release /gate</t>
  </si>
  <si>
    <t xml:space="preserve">NA for PDA </t>
  </si>
  <si>
    <t>https://bitbucket.sw.nxp.com/projects/STRX/repos/rfe/browse/docs/Change_and_Configuration_Management/RFE_Configuration_Management_Plan.docx</t>
  </si>
  <si>
    <t>RFE_Configuration_Management_Plan</t>
  </si>
  <si>
    <t>V 1.2</t>
  </si>
  <si>
    <t>https://bitbucket.sw.nxp.com/projects/STRX/repos/rfe/browse/docs/Software_Architecture</t>
  </si>
  <si>
    <t>https://doorsng.nxp.com/rm/web#action=com.ibm.rdm.web.pages.showArtifact&amp;artifactURI=https%3A%2F%2Fdoorsng.nxp.com%2Frm%2Fresources%2F_d383e39a562a4815b0051ce989cd65b5&amp;componentURI=https%3A%2F%2Fdoorsng.nxp.com%2Frm%2Frm-projects%2F_r8ZsYRVKEeiLn-6Dce4MoA%2Fcomponents%2F_entLQI3hEeqaeff_JhQ61g&amp;oslc.configuration=https%3A%2F%2Fdoorsng.nxp.com%2Fgc%2Fconfiguration%2F425</t>
  </si>
  <si>
    <t>https://bitbucket.sw.nxp.com/projects/STRX/repos/rfe/browse/docs/Project_Management/RFE%20SW%20WBS.xlsx</t>
  </si>
  <si>
    <t>RFE SW WBS</t>
  </si>
  <si>
    <t>rfe_sw.rs
rfe_sw.as</t>
  </si>
  <si>
    <t>1280331: rfe_sw.rs</t>
  </si>
  <si>
    <t>https://www.collabnet.nxp.com/sf/go/doc497618</t>
  </si>
  <si>
    <t>V 10</t>
  </si>
  <si>
    <t>https://bitbucket.sw.nxp.com/projects/STRX/repos/rfe/browse/docs/Requirements_Management/RFE_SW_Requirement_Specification.xlsx</t>
  </si>
  <si>
    <t>No Major updates 
 -  except for the organization/team members 
- Release  plan</t>
  </si>
  <si>
    <t>Additional Safety requirements added</t>
  </si>
  <si>
    <t>Relase plan update</t>
  </si>
  <si>
    <t>Updated for Remote</t>
  </si>
  <si>
    <t xml:space="preserve">No Major updates 
 -  scope updated for STRX variants
- except for the organization/team members 
</t>
  </si>
  <si>
    <t xml:space="preserve">Common Safety Plan used for RFE SW for all STRX variants
There are no changes;Org updated and release plan
</t>
  </si>
  <si>
    <t>RFE_SW_Architectural_Specification</t>
  </si>
  <si>
    <t>Waiver</t>
  </si>
  <si>
    <t>Resue fom once chip, additional rs for Remote added</t>
  </si>
  <si>
    <t>SmartTRX-SW-Release_Plan</t>
  </si>
  <si>
    <t>V0.2</t>
  </si>
  <si>
    <t>Draft Version</t>
  </si>
  <si>
    <t>Updated the safety case for the RFE SW and also added impact analysis</t>
  </si>
  <si>
    <t>Draft</t>
  </si>
  <si>
    <t>STRX RFE SW Software Product Brief</t>
  </si>
  <si>
    <t>V2</t>
  </si>
  <si>
    <t>Initial version, RCC, Detailed WBS will be available for the PPA</t>
  </si>
  <si>
    <t>STRX Remote</t>
  </si>
  <si>
    <t>Maulik</t>
  </si>
  <si>
    <t>PDA Baseline</t>
  </si>
  <si>
    <t>STRX OC</t>
  </si>
  <si>
    <t>ASIL 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</si>
</sst>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quot; €&quot;_-;\-* #,##0.00&quot; €&quot;_-;_-* \-??&quot; €&quot;_-;_-@_-"/>
    <numFmt numFmtId="165" formatCode="[$-409]d\-mmm\-yyyy;@"/>
    <numFmt numFmtId="166" formatCode="[$-409]d\-mmm\-yy;@"/>
    <numFmt numFmtId="167" formatCode="0.0"/>
  </numFmts>
  <fonts count="7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8"/>
      <color theme="1"/>
      <name val="Calibri"/>
      <family val="2"/>
      <scheme val="minor"/>
    </font>
    <font>
      <sz val="10"/>
      <color theme="1"/>
      <name val="Calibri"/>
      <family val="2"/>
      <scheme val="minor"/>
    </font>
    <font>
      <b/>
      <sz val="10"/>
      <color theme="1"/>
      <name val="Calibri"/>
      <family val="2"/>
      <scheme val="minor"/>
    </font>
    <font>
      <sz val="10"/>
      <name val="Arial"/>
      <family val="2"/>
    </font>
    <font>
      <u/>
      <sz val="6.6"/>
      <color theme="10"/>
      <name val="Calibri"/>
      <family val="2"/>
    </font>
    <font>
      <u/>
      <sz val="10"/>
      <color indexed="12"/>
      <name val="Arial"/>
      <family val="2"/>
    </font>
    <font>
      <b/>
      <sz val="12"/>
      <name val="Arial"/>
      <family val="2"/>
    </font>
    <font>
      <b/>
      <sz val="18"/>
      <color theme="0"/>
      <name val="Calibri"/>
      <family val="2"/>
      <scheme val="minor"/>
    </font>
    <font>
      <b/>
      <i/>
      <sz val="14"/>
      <color theme="0"/>
      <name val="Calibri"/>
      <family val="2"/>
      <scheme val="minor"/>
    </font>
    <font>
      <b/>
      <sz val="12"/>
      <name val="Calibri"/>
      <family val="2"/>
      <scheme val="minor"/>
    </font>
    <font>
      <sz val="11"/>
      <name val="Calibri"/>
      <family val="2"/>
      <scheme val="minor"/>
    </font>
    <font>
      <b/>
      <sz val="12"/>
      <color theme="1"/>
      <name val="Calibri"/>
      <family val="2"/>
      <scheme val="minor"/>
    </font>
    <font>
      <b/>
      <i/>
      <sz val="10"/>
      <color theme="0"/>
      <name val="Calibri"/>
      <family val="2"/>
      <scheme val="minor"/>
    </font>
    <font>
      <sz val="10"/>
      <name val="Calibri"/>
      <family val="2"/>
      <scheme val="minor"/>
    </font>
    <font>
      <u/>
      <sz val="10"/>
      <name val="Calibri"/>
      <family val="2"/>
      <scheme val="minor"/>
    </font>
    <font>
      <sz val="9"/>
      <color theme="1"/>
      <name val="Calibri"/>
      <family val="2"/>
      <scheme val="minor"/>
    </font>
    <font>
      <b/>
      <i/>
      <sz val="9"/>
      <color theme="0"/>
      <name val="Calibri"/>
      <family val="2"/>
      <scheme val="minor"/>
    </font>
    <font>
      <i/>
      <sz val="9"/>
      <name val="Calibri"/>
      <family val="2"/>
      <scheme val="minor"/>
    </font>
    <font>
      <sz val="9"/>
      <name val="Calibri"/>
      <family val="2"/>
      <scheme val="minor"/>
    </font>
    <font>
      <i/>
      <sz val="9"/>
      <color theme="1"/>
      <name val="Calibri"/>
      <family val="2"/>
      <scheme val="minor"/>
    </font>
    <font>
      <i/>
      <u/>
      <sz val="9"/>
      <name val="Calibri"/>
      <family val="2"/>
      <scheme val="minor"/>
    </font>
    <font>
      <b/>
      <sz val="16"/>
      <color theme="1"/>
      <name val="Calibri"/>
      <family val="2"/>
      <scheme val="minor"/>
    </font>
    <font>
      <b/>
      <sz val="10"/>
      <name val="Calibri"/>
      <family val="2"/>
      <scheme val="minor"/>
    </font>
    <font>
      <i/>
      <sz val="10"/>
      <color theme="1"/>
      <name val="Calibri"/>
      <family val="2"/>
      <scheme val="minor"/>
    </font>
    <font>
      <sz val="11"/>
      <color theme="1"/>
      <name val="Times New Roman"/>
      <family val="1"/>
    </font>
    <font>
      <sz val="7"/>
      <color theme="1"/>
      <name val="Times New Roman"/>
      <family val="1"/>
    </font>
    <font>
      <sz val="11"/>
      <color theme="1"/>
      <name val="Symbol"/>
      <family val="1"/>
      <charset val="2"/>
    </font>
    <font>
      <b/>
      <sz val="11"/>
      <color theme="1"/>
      <name val="Times New Roman"/>
      <family val="1"/>
    </font>
    <font>
      <b/>
      <sz val="14"/>
      <color rgb="FF00B050"/>
      <name val="Times New Roman"/>
      <family val="1"/>
    </font>
    <font>
      <b/>
      <sz val="16"/>
      <color theme="0"/>
      <name val="Calibri"/>
      <family val="2"/>
      <scheme val="minor"/>
    </font>
    <font>
      <b/>
      <sz val="14"/>
      <color theme="1"/>
      <name val="Calibri"/>
      <family val="2"/>
      <scheme val="minor"/>
    </font>
    <font>
      <sz val="14"/>
      <color theme="1"/>
      <name val="Calibri"/>
      <family val="2"/>
      <scheme val="minor"/>
    </font>
    <font>
      <sz val="10"/>
      <name val="Arial"/>
      <family val="2"/>
    </font>
    <font>
      <sz val="11"/>
      <name val="Arial"/>
      <family val="2"/>
    </font>
    <font>
      <b/>
      <sz val="12"/>
      <color theme="0"/>
      <name val="Arial"/>
      <family val="2"/>
    </font>
    <font>
      <b/>
      <sz val="18"/>
      <color theme="0"/>
      <name val="Arial"/>
      <family val="2"/>
    </font>
    <font>
      <sz val="10"/>
      <color rgb="FF00B050"/>
      <name val="Arial"/>
      <family val="2"/>
    </font>
    <font>
      <sz val="11"/>
      <color rgb="FF00B050"/>
      <name val="Arial"/>
      <family val="2"/>
    </font>
    <font>
      <sz val="10"/>
      <color rgb="FFFF0000"/>
      <name val="Arial"/>
      <family val="2"/>
    </font>
    <font>
      <sz val="11"/>
      <color rgb="FFFF0000"/>
      <name val="Arial"/>
      <family val="2"/>
    </font>
    <font>
      <b/>
      <sz val="10"/>
      <name val="Calibri"/>
      <family val="2"/>
    </font>
    <font>
      <sz val="14"/>
      <color rgb="FFFF0000"/>
      <name val="Calibri"/>
      <family val="2"/>
      <scheme val="minor"/>
    </font>
    <font>
      <u/>
      <sz val="11"/>
      <color theme="10"/>
      <name val="Calibri"/>
      <family val="2"/>
    </font>
    <font>
      <sz val="11"/>
      <color theme="1"/>
      <name val="Arial"/>
      <family val="2"/>
    </font>
    <font>
      <b/>
      <i/>
      <sz val="11"/>
      <color theme="1"/>
      <name val="Arial"/>
      <family val="2"/>
    </font>
    <font>
      <b/>
      <sz val="11"/>
      <name val="Arial"/>
      <family val="2"/>
    </font>
    <font>
      <b/>
      <sz val="11"/>
      <color theme="1"/>
      <name val="Arial"/>
      <family val="2"/>
    </font>
    <font>
      <sz val="10"/>
      <color rgb="FF0070C0"/>
      <name val="Arial"/>
      <family val="2"/>
    </font>
    <font>
      <u/>
      <sz val="16"/>
      <color theme="10"/>
      <name val="Calibri"/>
      <family val="2"/>
    </font>
    <font>
      <sz val="11"/>
      <color theme="2" tint="-0.89999084444715716"/>
      <name val="Arial"/>
      <family val="2"/>
    </font>
    <font>
      <b/>
      <i/>
      <sz val="11"/>
      <color theme="1"/>
      <name val="Calibri"/>
      <family val="2"/>
      <scheme val="minor"/>
    </font>
    <font>
      <sz val="16"/>
      <color rgb="FFFF0000"/>
      <name val="Arial"/>
      <family val="2"/>
    </font>
    <font>
      <sz val="11"/>
      <color rgb="FF0070C0"/>
      <name val="Arial"/>
      <family val="2"/>
    </font>
    <font>
      <sz val="10"/>
      <name val="Arial"/>
      <family val="2"/>
    </font>
    <font>
      <sz val="9"/>
      <name val="Arial"/>
      <family val="2"/>
    </font>
    <font>
      <u/>
      <sz val="11"/>
      <color rgb="FF00B050"/>
      <name val="Arial"/>
      <family val="2"/>
    </font>
    <font>
      <u/>
      <sz val="11"/>
      <name val="Arial"/>
      <family val="2"/>
    </font>
    <font>
      <b/>
      <sz val="10"/>
      <color theme="0"/>
      <name val="Calibri"/>
      <family val="2"/>
      <scheme val="minor"/>
    </font>
    <font>
      <b/>
      <u/>
      <sz val="12"/>
      <color rgb="FF0070C0"/>
      <name val="Calibri"/>
      <family val="2"/>
    </font>
    <font>
      <b/>
      <u/>
      <sz val="12"/>
      <name val="Calibri"/>
      <family val="2"/>
    </font>
    <font>
      <strike/>
      <sz val="10"/>
      <name val="Calibri"/>
      <family val="2"/>
      <scheme val="minor"/>
    </font>
    <font>
      <b/>
      <i/>
      <sz val="10"/>
      <name val="Calibri"/>
      <family val="2"/>
      <scheme val="minor"/>
    </font>
    <font>
      <i/>
      <sz val="10"/>
      <name val="Calibri"/>
      <family val="2"/>
      <scheme val="minor"/>
    </font>
    <font>
      <b/>
      <u/>
      <sz val="10"/>
      <name val="Calibri"/>
      <family val="2"/>
    </font>
    <font>
      <u/>
      <sz val="10"/>
      <color theme="10"/>
      <name val="Calibri"/>
      <family val="2"/>
    </font>
    <font>
      <sz val="12"/>
      <name val="Arial"/>
      <family val="2"/>
    </font>
    <font>
      <b/>
      <sz val="12"/>
      <color indexed="12"/>
      <name val="Arial"/>
      <family val="2"/>
    </font>
    <font>
      <u/>
      <sz val="1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rgb="FF00B050"/>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rgb="FFFFFF00"/>
        <bgColor indexed="64"/>
      </patternFill>
    </fill>
    <fill>
      <patternFill patternType="solid">
        <fgColor rgb="FF0070C0"/>
        <bgColor indexed="64"/>
      </patternFill>
    </fill>
    <fill>
      <patternFill patternType="solid">
        <fgColor rgb="FF009999"/>
        <bgColor indexed="64"/>
      </patternFill>
    </fill>
    <fill>
      <patternFill patternType="solid">
        <fgColor theme="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499984740745262"/>
        <bgColor indexed="64"/>
      </patternFill>
    </fill>
    <fill>
      <patternFill patternType="solid">
        <fgColor theme="6" tint="0.59999389629810485"/>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auto="1"/>
      </left>
      <right/>
      <top/>
      <bottom style="thin">
        <color auto="1"/>
      </bottom>
      <diagonal/>
    </border>
    <border>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bottom style="medium">
        <color indexed="64"/>
      </bottom>
      <diagonal/>
    </border>
  </borders>
  <cellStyleXfs count="15">
    <xf numFmtId="0" fontId="0" fillId="0" borderId="0"/>
    <xf numFmtId="0" fontId="1" fillId="0" borderId="0"/>
    <xf numFmtId="0" fontId="7" fillId="0" borderId="0"/>
    <xf numFmtId="0" fontId="8" fillId="0" borderId="0" applyNumberFormat="0" applyFill="0" applyBorder="0" applyAlignment="0" applyProtection="0">
      <alignment vertical="top"/>
      <protection locked="0"/>
    </xf>
    <xf numFmtId="0" fontId="7" fillId="0" borderId="0"/>
    <xf numFmtId="0" fontId="7" fillId="0" borderId="1"/>
    <xf numFmtId="164" fontId="7" fillId="0" borderId="0"/>
    <xf numFmtId="0" fontId="9" fillId="0" borderId="0"/>
    <xf numFmtId="0" fontId="7" fillId="0" borderId="0">
      <alignment horizontal="left" vertical="top" wrapText="1"/>
    </xf>
    <xf numFmtId="0" fontId="10" fillId="0" borderId="0"/>
    <xf numFmtId="0" fontId="36" fillId="0" borderId="0"/>
    <xf numFmtId="0" fontId="9" fillId="0" borderId="0" applyNumberFormat="0" applyFill="0" applyBorder="0" applyAlignment="0" applyProtection="0">
      <alignment vertical="top"/>
      <protection locked="0"/>
    </xf>
    <xf numFmtId="0" fontId="46" fillId="0" borderId="0" applyNumberFormat="0" applyFill="0" applyBorder="0" applyAlignment="0" applyProtection="0">
      <alignment vertical="top"/>
      <protection locked="0"/>
    </xf>
    <xf numFmtId="0" fontId="57" fillId="0" borderId="0"/>
    <xf numFmtId="0" fontId="7" fillId="0" borderId="0"/>
  </cellStyleXfs>
  <cellXfs count="543">
    <xf numFmtId="0" fontId="0" fillId="0" borderId="0" xfId="0"/>
    <xf numFmtId="0" fontId="0" fillId="0" borderId="0" xfId="0" applyAlignment="1">
      <alignment horizontal="center" vertical="center" wrapText="1"/>
    </xf>
    <xf numFmtId="0" fontId="0" fillId="0" borderId="0" xfId="0" applyAlignment="1">
      <alignment vertical="center"/>
    </xf>
    <xf numFmtId="0" fontId="11" fillId="0" borderId="0" xfId="0" applyFont="1" applyAlignment="1">
      <alignment horizontal="left" vertical="center"/>
    </xf>
    <xf numFmtId="0" fontId="0" fillId="0" borderId="0" xfId="0" applyAlignment="1">
      <alignment horizontal="left" vertical="center"/>
    </xf>
    <xf numFmtId="0" fontId="11" fillId="0" borderId="0" xfId="0" applyFont="1" applyAlignment="1">
      <alignment horizontal="left" vertical="center" wrapText="1"/>
    </xf>
    <xf numFmtId="0" fontId="0" fillId="6" borderId="0" xfId="0" applyFill="1"/>
    <xf numFmtId="0" fontId="12" fillId="6" borderId="0" xfId="0" applyFont="1" applyFill="1"/>
    <xf numFmtId="0" fontId="13" fillId="7" borderId="1" xfId="0" applyFont="1" applyFill="1" applyBorder="1"/>
    <xf numFmtId="0" fontId="0" fillId="0" borderId="1" xfId="0" applyBorder="1" applyAlignment="1">
      <alignment vertical="top"/>
    </xf>
    <xf numFmtId="0" fontId="14" fillId="0" borderId="0" xfId="0" applyFont="1" applyAlignment="1">
      <alignment vertical="top" wrapText="1"/>
    </xf>
    <xf numFmtId="0" fontId="14" fillId="0" borderId="0" xfId="0" applyFont="1" applyAlignment="1">
      <alignment vertical="top"/>
    </xf>
    <xf numFmtId="0" fontId="2" fillId="0" borderId="0" xfId="0" applyFont="1" applyAlignment="1">
      <alignment horizontal="center" vertical="center"/>
    </xf>
    <xf numFmtId="0" fontId="0" fillId="0" borderId="0" xfId="0" applyAlignment="1">
      <alignment horizontal="left" vertical="center" wrapText="1"/>
    </xf>
    <xf numFmtId="0" fontId="0" fillId="0" borderId="0" xfId="0" applyAlignment="1">
      <alignment horizontal="center" vertical="center"/>
    </xf>
    <xf numFmtId="0" fontId="15" fillId="7" borderId="1" xfId="0" applyFont="1" applyFill="1" applyBorder="1"/>
    <xf numFmtId="0" fontId="0" fillId="0" borderId="1" xfId="0" applyBorder="1" applyAlignment="1">
      <alignment horizontal="left" vertical="center"/>
    </xf>
    <xf numFmtId="0" fontId="0" fillId="0" borderId="1" xfId="0" applyBorder="1" applyAlignment="1">
      <alignment horizontal="center" vertical="center"/>
    </xf>
    <xf numFmtId="165" fontId="0" fillId="0" borderId="1" xfId="0" applyNumberFormat="1" applyBorder="1" applyAlignment="1">
      <alignment vertical="top" wrapText="1"/>
    </xf>
    <xf numFmtId="165" fontId="0" fillId="0" borderId="1" xfId="0" applyNumberFormat="1" applyBorder="1" applyAlignment="1">
      <alignment horizontal="left" vertical="top"/>
    </xf>
    <xf numFmtId="0" fontId="5" fillId="0" borderId="0" xfId="0" applyFont="1"/>
    <xf numFmtId="0" fontId="5" fillId="6" borderId="0" xfId="0" applyFont="1" applyFill="1"/>
    <xf numFmtId="0" fontId="17" fillId="0" borderId="0" xfId="0" applyFont="1" applyAlignment="1">
      <alignment vertical="top" wrapText="1"/>
    </xf>
    <xf numFmtId="0" fontId="16" fillId="6" borderId="0" xfId="0" applyFont="1" applyFill="1"/>
    <xf numFmtId="0" fontId="17" fillId="7" borderId="0" xfId="0" applyFont="1" applyFill="1" applyAlignment="1">
      <alignment vertical="top" wrapText="1"/>
    </xf>
    <xf numFmtId="165" fontId="0" fillId="0" borderId="1" xfId="0" applyNumberFormat="1" applyBorder="1" applyAlignment="1">
      <alignment vertical="top"/>
    </xf>
    <xf numFmtId="0" fontId="19" fillId="0" borderId="0" xfId="0" applyFont="1"/>
    <xf numFmtId="0" fontId="19" fillId="6" borderId="0" xfId="0" applyFont="1" applyFill="1"/>
    <xf numFmtId="0" fontId="20" fillId="6" borderId="0" xfId="0" applyFont="1" applyFill="1"/>
    <xf numFmtId="0" fontId="21" fillId="7" borderId="0" xfId="0" applyFont="1" applyFill="1" applyAlignment="1">
      <alignment vertical="top" wrapText="1"/>
    </xf>
    <xf numFmtId="0" fontId="22" fillId="0" borderId="0" xfId="0" applyFont="1" applyAlignment="1">
      <alignment vertical="top"/>
    </xf>
    <xf numFmtId="0" fontId="23" fillId="0" borderId="0" xfId="0" applyFont="1" applyAlignment="1">
      <alignment wrapText="1"/>
    </xf>
    <xf numFmtId="0" fontId="21" fillId="0" borderId="0" xfId="0" applyFont="1" applyAlignment="1">
      <alignment vertical="top" wrapText="1"/>
    </xf>
    <xf numFmtId="165" fontId="0" fillId="0" borderId="10" xfId="0" applyNumberFormat="1" applyBorder="1" applyAlignment="1">
      <alignment horizontal="center" vertical="center" wrapText="1"/>
    </xf>
    <xf numFmtId="0" fontId="27" fillId="4" borderId="1" xfId="0" applyFont="1" applyFill="1" applyBorder="1" applyAlignment="1">
      <alignment horizontal="center" vertical="center" wrapText="1"/>
    </xf>
    <xf numFmtId="0" fontId="6" fillId="8" borderId="1" xfId="0" applyFont="1" applyFill="1" applyBorder="1" applyAlignment="1">
      <alignment horizontal="center" vertical="center" wrapText="1"/>
    </xf>
    <xf numFmtId="0" fontId="0" fillId="0" borderId="0" xfId="0" applyAlignment="1">
      <alignment wrapText="1"/>
    </xf>
    <xf numFmtId="0" fontId="25" fillId="2" borderId="11" xfId="0" applyFont="1" applyFill="1" applyBorder="1" applyAlignment="1">
      <alignment vertical="center"/>
    </xf>
    <xf numFmtId="0" fontId="26" fillId="4" borderId="1" xfId="0" applyFont="1" applyFill="1" applyBorder="1" applyAlignment="1">
      <alignment horizontal="center" vertical="center" wrapText="1"/>
    </xf>
    <xf numFmtId="0" fontId="17" fillId="4" borderId="1" xfId="0" applyFont="1" applyFill="1" applyBorder="1" applyAlignment="1">
      <alignment vertical="center" wrapText="1"/>
    </xf>
    <xf numFmtId="0" fontId="3" fillId="0" borderId="0" xfId="0" applyFont="1" applyAlignment="1">
      <alignment horizontal="center"/>
    </xf>
    <xf numFmtId="0" fontId="25" fillId="9" borderId="1" xfId="0" applyFont="1" applyFill="1" applyBorder="1" applyAlignment="1">
      <alignment horizontal="center" vertical="center"/>
    </xf>
    <xf numFmtId="0" fontId="34" fillId="0" borderId="1" xfId="0" applyFont="1" applyBorder="1" applyAlignment="1">
      <alignment horizontal="right" vertical="center" wrapText="1"/>
    </xf>
    <xf numFmtId="0" fontId="35" fillId="8" borderId="1" xfId="0" applyFont="1" applyFill="1" applyBorder="1" applyAlignment="1">
      <alignment horizontal="center" vertical="center" wrapText="1"/>
    </xf>
    <xf numFmtId="0" fontId="34" fillId="0" borderId="1" xfId="0" applyFont="1" applyBorder="1" applyAlignment="1">
      <alignment horizontal="right" vertical="center"/>
    </xf>
    <xf numFmtId="0" fontId="4" fillId="0" borderId="0" xfId="0" applyFont="1" applyAlignment="1">
      <alignment horizontal="center" vertical="center" wrapText="1"/>
    </xf>
    <xf numFmtId="0" fontId="4" fillId="8" borderId="1" xfId="0" applyFont="1" applyFill="1" applyBorder="1" applyAlignment="1">
      <alignment horizontal="center" vertical="center" wrapText="1"/>
    </xf>
    <xf numFmtId="0" fontId="2" fillId="9" borderId="1" xfId="0" applyFont="1" applyFill="1" applyBorder="1" applyAlignment="1">
      <alignment horizontal="center"/>
    </xf>
    <xf numFmtId="0" fontId="36" fillId="0" borderId="0" xfId="10"/>
    <xf numFmtId="0" fontId="36" fillId="0" borderId="0" xfId="10" applyAlignment="1">
      <alignment wrapText="1"/>
    </xf>
    <xf numFmtId="0" fontId="36" fillId="0" borderId="0" xfId="10" applyAlignment="1">
      <alignment horizontal="center"/>
    </xf>
    <xf numFmtId="0" fontId="7" fillId="0" borderId="0" xfId="10" applyFont="1"/>
    <xf numFmtId="0" fontId="37" fillId="0" borderId="0" xfId="10" applyFont="1"/>
    <xf numFmtId="0" fontId="7" fillId="0" borderId="1" xfId="10" applyFont="1" applyBorder="1"/>
    <xf numFmtId="0" fontId="37" fillId="11" borderId="1" xfId="10" applyFont="1" applyFill="1" applyBorder="1" applyAlignment="1">
      <alignment vertical="top"/>
    </xf>
    <xf numFmtId="0" fontId="37" fillId="11" borderId="1" xfId="10" applyFont="1" applyFill="1" applyBorder="1" applyAlignment="1">
      <alignment vertical="top" wrapText="1"/>
    </xf>
    <xf numFmtId="0" fontId="40" fillId="0" borderId="0" xfId="10" applyFont="1"/>
    <xf numFmtId="0" fontId="40" fillId="0" borderId="1" xfId="10" applyFont="1" applyBorder="1"/>
    <xf numFmtId="0" fontId="42" fillId="0" borderId="0" xfId="10" applyFont="1"/>
    <xf numFmtId="0" fontId="42" fillId="0" borderId="1" xfId="10" applyFont="1" applyBorder="1"/>
    <xf numFmtId="0" fontId="36" fillId="13" borderId="0" xfId="10" applyFill="1" applyAlignment="1">
      <alignment wrapText="1"/>
    </xf>
    <xf numFmtId="0" fontId="36" fillId="11" borderId="0" xfId="10" applyFill="1" applyAlignment="1">
      <alignment wrapText="1"/>
    </xf>
    <xf numFmtId="0" fontId="36" fillId="8" borderId="0" xfId="10" applyFill="1" applyAlignment="1">
      <alignment wrapText="1"/>
    </xf>
    <xf numFmtId="0" fontId="36" fillId="12" borderId="0" xfId="10" applyFill="1" applyAlignment="1">
      <alignment wrapText="1"/>
    </xf>
    <xf numFmtId="0" fontId="37" fillId="11" borderId="1" xfId="0" applyFont="1" applyFill="1" applyBorder="1" applyAlignment="1">
      <alignment vertical="top" wrapText="1"/>
    </xf>
    <xf numFmtId="0" fontId="5" fillId="8" borderId="1" xfId="0" applyFont="1" applyFill="1" applyBorder="1" applyAlignment="1">
      <alignment horizontal="left" vertical="top" wrapText="1"/>
    </xf>
    <xf numFmtId="0" fontId="44" fillId="8" borderId="1" xfId="3" applyFont="1" applyFill="1" applyBorder="1" applyAlignment="1" applyProtection="1">
      <alignment horizontal="left" vertical="center" wrapText="1"/>
    </xf>
    <xf numFmtId="0" fontId="6" fillId="8" borderId="1" xfId="0" applyFont="1" applyFill="1" applyBorder="1" applyAlignment="1">
      <alignment horizontal="left" vertical="center" wrapText="1"/>
    </xf>
    <xf numFmtId="0" fontId="5" fillId="8" borderId="1" xfId="0" applyFont="1" applyFill="1" applyBorder="1" applyAlignment="1">
      <alignment horizontal="left" vertical="center" wrapText="1"/>
    </xf>
    <xf numFmtId="0" fontId="26" fillId="8" borderId="1" xfId="3" applyFont="1" applyFill="1" applyBorder="1" applyAlignment="1" applyProtection="1">
      <alignment horizontal="left" vertical="center" wrapText="1"/>
    </xf>
    <xf numFmtId="0" fontId="26" fillId="8" borderId="1" xfId="0" applyFont="1" applyFill="1" applyBorder="1" applyAlignment="1">
      <alignment horizontal="left" vertical="center" wrapText="1"/>
    </xf>
    <xf numFmtId="0" fontId="8" fillId="0" borderId="1" xfId="3" applyBorder="1" applyAlignment="1" applyProtection="1">
      <alignment vertical="top" wrapText="1"/>
    </xf>
    <xf numFmtId="0" fontId="13" fillId="7" borderId="2" xfId="0" applyFont="1" applyFill="1" applyBorder="1"/>
    <xf numFmtId="0" fontId="15" fillId="7" borderId="2" xfId="0" applyFont="1" applyFill="1" applyBorder="1"/>
    <xf numFmtId="0" fontId="45" fillId="8" borderId="1" xfId="0" applyFont="1" applyFill="1" applyBorder="1" applyAlignment="1">
      <alignment horizontal="center" vertical="center" wrapText="1"/>
    </xf>
    <xf numFmtId="0" fontId="40" fillId="0" borderId="0" xfId="10" applyFont="1" applyAlignment="1">
      <alignment horizontal="right" wrapText="1"/>
    </xf>
    <xf numFmtId="0" fontId="38" fillId="10" borderId="1" xfId="10" applyFont="1" applyFill="1" applyBorder="1" applyAlignment="1">
      <alignment horizontal="center" vertical="top" wrapText="1"/>
    </xf>
    <xf numFmtId="0" fontId="38" fillId="10" borderId="1" xfId="10" applyFont="1" applyFill="1" applyBorder="1" applyAlignment="1">
      <alignment horizontal="left" vertical="center" wrapText="1"/>
    </xf>
    <xf numFmtId="0" fontId="47" fillId="14" borderId="0" xfId="0" applyFont="1" applyFill="1" applyAlignment="1">
      <alignment vertical="top"/>
    </xf>
    <xf numFmtId="0" fontId="47" fillId="0" borderId="0" xfId="0" applyFont="1" applyAlignment="1">
      <alignment vertical="top"/>
    </xf>
    <xf numFmtId="0" fontId="47" fillId="0" borderId="0" xfId="0" applyFont="1" applyAlignment="1">
      <alignment horizontal="left" vertical="top"/>
    </xf>
    <xf numFmtId="0" fontId="47" fillId="14" borderId="0" xfId="0" applyFont="1" applyFill="1" applyAlignment="1">
      <alignment horizontal="left" vertical="center"/>
    </xf>
    <xf numFmtId="0" fontId="47" fillId="0" borderId="14" xfId="0" applyFont="1" applyBorder="1" applyAlignment="1">
      <alignment horizontal="left" vertical="center" wrapText="1"/>
    </xf>
    <xf numFmtId="0" fontId="47" fillId="0" borderId="0" xfId="0" applyFont="1" applyAlignment="1">
      <alignment horizontal="left" vertical="center"/>
    </xf>
    <xf numFmtId="0" fontId="47" fillId="0" borderId="15" xfId="0" applyFont="1" applyBorder="1" applyAlignment="1">
      <alignment horizontal="left" vertical="center" wrapText="1"/>
    </xf>
    <xf numFmtId="15" fontId="47" fillId="0" borderId="15" xfId="0" applyNumberFormat="1" applyFont="1" applyBorder="1" applyAlignment="1">
      <alignment horizontal="left" vertical="center" wrapText="1"/>
    </xf>
    <xf numFmtId="0" fontId="47" fillId="0" borderId="16" xfId="0" applyFont="1" applyBorder="1" applyAlignment="1">
      <alignment horizontal="left" vertical="center" wrapText="1"/>
    </xf>
    <xf numFmtId="0" fontId="47" fillId="14" borderId="0" xfId="0" applyFont="1" applyFill="1" applyAlignment="1">
      <alignment horizontal="left" vertical="top"/>
    </xf>
    <xf numFmtId="0" fontId="37" fillId="0" borderId="1" xfId="0" applyFont="1" applyBorder="1" applyAlignment="1">
      <alignment vertical="top" wrapText="1"/>
    </xf>
    <xf numFmtId="0" fontId="49" fillId="0" borderId="1" xfId="0" applyFont="1" applyBorder="1" applyAlignment="1">
      <alignment vertical="top" wrapText="1"/>
    </xf>
    <xf numFmtId="15" fontId="37"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47" fillId="0" borderId="0" xfId="0" applyFont="1" applyAlignment="1">
      <alignment vertical="top" wrapText="1"/>
    </xf>
    <xf numFmtId="166" fontId="37" fillId="0" borderId="1" xfId="0" applyNumberFormat="1" applyFont="1" applyBorder="1" applyAlignment="1">
      <alignment horizontal="left" vertical="top" wrapText="1"/>
    </xf>
    <xf numFmtId="0" fontId="47" fillId="0" borderId="1" xfId="0" applyFont="1" applyBorder="1" applyAlignment="1">
      <alignment vertical="top" wrapText="1"/>
    </xf>
    <xf numFmtId="0" fontId="47" fillId="0" borderId="1" xfId="0" applyFont="1" applyBorder="1" applyAlignment="1">
      <alignment horizontal="left" vertical="top" wrapText="1"/>
    </xf>
    <xf numFmtId="0" fontId="50" fillId="0" borderId="1" xfId="0" applyFont="1" applyBorder="1" applyAlignment="1">
      <alignment vertical="top" wrapText="1"/>
    </xf>
    <xf numFmtId="0" fontId="47" fillId="0" borderId="0" xfId="0" applyFont="1" applyAlignment="1">
      <alignment horizontal="left" vertical="top" wrapText="1"/>
    </xf>
    <xf numFmtId="0" fontId="50" fillId="0" borderId="0" xfId="0" applyFont="1" applyAlignment="1">
      <alignment vertical="top" wrapText="1"/>
    </xf>
    <xf numFmtId="0" fontId="37" fillId="11" borderId="1" xfId="0" applyFont="1" applyFill="1" applyBorder="1" applyAlignment="1">
      <alignment horizontal="left" vertical="top" wrapText="1"/>
    </xf>
    <xf numFmtId="0" fontId="41" fillId="11" borderId="1" xfId="0" applyFont="1" applyFill="1" applyBorder="1" applyAlignment="1">
      <alignment horizontal="left" vertical="top" wrapText="1"/>
    </xf>
    <xf numFmtId="0" fontId="37" fillId="11" borderId="1" xfId="10" applyFont="1" applyFill="1" applyBorder="1" applyAlignment="1">
      <alignment horizontal="left" vertical="top" wrapText="1"/>
    </xf>
    <xf numFmtId="0" fontId="41" fillId="11" borderId="1" xfId="10" applyFont="1" applyFill="1" applyBorder="1" applyAlignment="1">
      <alignment horizontal="left" vertical="top" wrapText="1"/>
    </xf>
    <xf numFmtId="0" fontId="30" fillId="0" borderId="0" xfId="0" applyFont="1" applyAlignment="1">
      <alignment horizontal="left" vertical="top" wrapText="1"/>
    </xf>
    <xf numFmtId="0" fontId="28" fillId="0" borderId="0" xfId="0" applyFont="1" applyAlignment="1">
      <alignment vertical="top" wrapText="1"/>
    </xf>
    <xf numFmtId="0" fontId="0" fillId="0" borderId="0" xfId="0" applyAlignment="1">
      <alignment vertical="top" wrapText="1"/>
    </xf>
    <xf numFmtId="0" fontId="32" fillId="0" borderId="0" xfId="0" applyFont="1" applyAlignment="1">
      <alignment horizontal="left" vertical="top" wrapText="1"/>
    </xf>
    <xf numFmtId="15" fontId="7" fillId="0" borderId="1" xfId="10" applyNumberFormat="1" applyFont="1" applyBorder="1" applyAlignment="1">
      <alignment wrapText="1"/>
    </xf>
    <xf numFmtId="0" fontId="41" fillId="11" borderId="1" xfId="0" applyFont="1" applyFill="1" applyBorder="1" applyAlignment="1">
      <alignment vertical="top" wrapText="1"/>
    </xf>
    <xf numFmtId="0" fontId="41" fillId="11" borderId="1" xfId="10" applyFont="1" applyFill="1" applyBorder="1" applyAlignment="1">
      <alignment vertical="top" wrapText="1"/>
    </xf>
    <xf numFmtId="0" fontId="40" fillId="14" borderId="1" xfId="10" applyFont="1" applyFill="1" applyBorder="1"/>
    <xf numFmtId="0" fontId="52" fillId="0" borderId="1" xfId="3" applyFont="1" applyBorder="1" applyAlignment="1" applyProtection="1">
      <alignment horizontal="center" vertical="center" wrapText="1"/>
    </xf>
    <xf numFmtId="0" fontId="8" fillId="0" borderId="1" xfId="3" applyFill="1" applyBorder="1" applyAlignment="1" applyProtection="1">
      <alignment vertical="top" wrapText="1"/>
    </xf>
    <xf numFmtId="0" fontId="38" fillId="10" borderId="1" xfId="10" applyFont="1" applyFill="1" applyBorder="1" applyAlignment="1">
      <alignment horizontal="left" vertical="top" wrapText="1"/>
    </xf>
    <xf numFmtId="0" fontId="38" fillId="10" borderId="1" xfId="10" applyFont="1" applyFill="1" applyBorder="1" applyAlignment="1">
      <alignment horizontal="left" vertical="top"/>
    </xf>
    <xf numFmtId="0" fontId="37" fillId="11" borderId="1" xfId="10" applyFont="1" applyFill="1" applyBorder="1" applyAlignment="1">
      <alignment horizontal="left" vertical="top"/>
    </xf>
    <xf numFmtId="0" fontId="7" fillId="0" borderId="1" xfId="10" applyFont="1" applyBorder="1" applyAlignment="1">
      <alignment horizontal="left" vertical="top" wrapText="1"/>
    </xf>
    <xf numFmtId="0" fontId="7" fillId="0" borderId="1" xfId="10" applyFont="1" applyBorder="1" applyAlignment="1">
      <alignment vertical="top"/>
    </xf>
    <xf numFmtId="0" fontId="37" fillId="8" borderId="1" xfId="10" applyFont="1" applyFill="1" applyBorder="1" applyAlignment="1">
      <alignment horizontal="left" vertical="top"/>
    </xf>
    <xf numFmtId="0" fontId="42" fillId="0" borderId="0" xfId="10" applyFont="1" applyAlignment="1">
      <alignment horizontal="center"/>
    </xf>
    <xf numFmtId="0" fontId="37" fillId="0" borderId="1" xfId="0" applyFont="1" applyBorder="1" applyAlignment="1">
      <alignment horizontal="center" vertical="center" wrapText="1"/>
    </xf>
    <xf numFmtId="0" fontId="53" fillId="0" borderId="1" xfId="0" applyFont="1" applyBorder="1" applyAlignment="1">
      <alignment horizontal="center" vertical="center" wrapText="1" readingOrder="1"/>
    </xf>
    <xf numFmtId="0" fontId="37" fillId="0" borderId="1" xfId="0" applyFont="1" applyBorder="1" applyAlignment="1">
      <alignment horizontal="center" vertical="center" wrapText="1" readingOrder="1"/>
    </xf>
    <xf numFmtId="0" fontId="53" fillId="0" borderId="1" xfId="0" applyFont="1" applyBorder="1" applyAlignment="1">
      <alignment horizontal="center" vertical="center" readingOrder="1"/>
    </xf>
    <xf numFmtId="0" fontId="37" fillId="0" borderId="1" xfId="0" applyFont="1" applyBorder="1" applyAlignment="1">
      <alignment horizontal="center" vertical="center" readingOrder="1"/>
    </xf>
    <xf numFmtId="0" fontId="37" fillId="0" borderId="0" xfId="10" applyFont="1" applyAlignment="1">
      <alignment horizontal="center" vertical="center"/>
    </xf>
    <xf numFmtId="0" fontId="7" fillId="0" borderId="0" xfId="10" applyFont="1" applyAlignment="1">
      <alignment horizontal="left"/>
    </xf>
    <xf numFmtId="0" fontId="37" fillId="14" borderId="1" xfId="10" applyFont="1" applyFill="1" applyBorder="1" applyAlignment="1">
      <alignment horizontal="left" vertical="top"/>
    </xf>
    <xf numFmtId="0" fontId="36" fillId="14" borderId="1" xfId="10" applyFill="1" applyBorder="1" applyAlignment="1">
      <alignment horizontal="left" vertical="top"/>
    </xf>
    <xf numFmtId="0" fontId="8" fillId="0" borderId="1" xfId="3" applyBorder="1" applyAlignment="1" applyProtection="1">
      <alignment wrapText="1"/>
    </xf>
    <xf numFmtId="0" fontId="37" fillId="0" borderId="1" xfId="12" applyFont="1" applyFill="1" applyBorder="1" applyAlignment="1" applyProtection="1">
      <alignment horizontal="left" vertical="top" wrapText="1"/>
    </xf>
    <xf numFmtId="0" fontId="37" fillId="0" borderId="1" xfId="0" applyFont="1" applyBorder="1" applyAlignment="1">
      <alignment horizontal="left" vertical="top" wrapText="1"/>
    </xf>
    <xf numFmtId="0" fontId="0" fillId="14" borderId="0" xfId="0" applyFill="1"/>
    <xf numFmtId="0" fontId="54" fillId="0" borderId="1" xfId="0" applyFont="1" applyBorder="1"/>
    <xf numFmtId="0" fontId="0" fillId="0" borderId="1" xfId="0" applyBorder="1"/>
    <xf numFmtId="14" fontId="7" fillId="0" borderId="1" xfId="10" applyNumberFormat="1" applyFont="1" applyBorder="1"/>
    <xf numFmtId="165" fontId="0" fillId="0" borderId="1" xfId="0" applyNumberFormat="1" applyBorder="1" applyAlignment="1">
      <alignment vertical="center" wrapText="1"/>
    </xf>
    <xf numFmtId="165" fontId="0" fillId="0" borderId="1" xfId="0" applyNumberFormat="1" applyBorder="1" applyAlignment="1">
      <alignment horizontal="left" vertical="center"/>
    </xf>
    <xf numFmtId="0" fontId="37" fillId="12" borderId="13" xfId="0" applyFont="1" applyFill="1" applyBorder="1" applyAlignment="1">
      <alignment horizontal="left" vertical="top" wrapText="1"/>
    </xf>
    <xf numFmtId="0" fontId="41" fillId="11" borderId="7" xfId="0" applyFont="1" applyFill="1" applyBorder="1" applyAlignment="1">
      <alignment horizontal="left" vertical="top" wrapText="1"/>
    </xf>
    <xf numFmtId="0" fontId="37" fillId="12" borderId="6" xfId="0" applyFont="1" applyFill="1" applyBorder="1" applyAlignment="1">
      <alignment vertical="top" wrapText="1"/>
    </xf>
    <xf numFmtId="0" fontId="56" fillId="8" borderId="1" xfId="0" applyFont="1" applyFill="1" applyBorder="1" applyAlignment="1">
      <alignment horizontal="left" vertical="top" wrapText="1"/>
    </xf>
    <xf numFmtId="0" fontId="51" fillId="0" borderId="0" xfId="10" applyFont="1" applyAlignment="1">
      <alignment horizontal="right" wrapText="1"/>
    </xf>
    <xf numFmtId="0" fontId="55" fillId="0" borderId="0" xfId="10" applyFont="1"/>
    <xf numFmtId="0" fontId="42" fillId="0" borderId="0" xfId="10" applyFont="1" applyAlignment="1">
      <alignment wrapText="1"/>
    </xf>
    <xf numFmtId="0" fontId="57" fillId="0" borderId="0" xfId="13"/>
    <xf numFmtId="166" fontId="57" fillId="0" borderId="1" xfId="13" applyNumberFormat="1" applyBorder="1" applyAlignment="1">
      <alignment horizontal="left" vertical="top"/>
    </xf>
    <xf numFmtId="0" fontId="57" fillId="0" borderId="0" xfId="13" applyAlignment="1">
      <alignment wrapText="1"/>
    </xf>
    <xf numFmtId="0" fontId="57" fillId="0" borderId="0" xfId="13" applyAlignment="1">
      <alignment horizontal="center" vertical="center"/>
    </xf>
    <xf numFmtId="0" fontId="58" fillId="0" borderId="1" xfId="13" applyFont="1" applyBorder="1" applyAlignment="1">
      <alignment horizontal="left" vertical="top" wrapText="1"/>
    </xf>
    <xf numFmtId="0" fontId="7" fillId="0" borderId="1" xfId="13" applyFont="1" applyBorder="1"/>
    <xf numFmtId="0" fontId="57" fillId="0" borderId="1" xfId="13" applyBorder="1" applyAlignment="1">
      <alignment horizontal="left" vertical="top" wrapText="1"/>
    </xf>
    <xf numFmtId="0" fontId="57" fillId="0" borderId="1" xfId="13" applyBorder="1" applyAlignment="1">
      <alignment horizontal="left" vertical="top"/>
    </xf>
    <xf numFmtId="0" fontId="60" fillId="11" borderId="1" xfId="3" applyFont="1" applyFill="1" applyBorder="1" applyAlignment="1" applyProtection="1">
      <alignment vertical="top" wrapText="1"/>
    </xf>
    <xf numFmtId="0" fontId="60" fillId="11" borderId="1" xfId="3" applyFont="1" applyFill="1" applyBorder="1" applyAlignment="1" applyProtection="1">
      <alignment horizontal="left" vertical="top" wrapText="1"/>
    </xf>
    <xf numFmtId="0" fontId="5" fillId="4" borderId="1" xfId="0" applyFont="1" applyFill="1" applyBorder="1" applyAlignment="1">
      <alignment horizontal="center" vertical="center" wrapText="1"/>
    </xf>
    <xf numFmtId="0" fontId="4" fillId="0" borderId="0" xfId="0" applyFont="1" applyAlignment="1">
      <alignment wrapText="1"/>
    </xf>
    <xf numFmtId="0" fontId="4" fillId="0" borderId="0" xfId="0" applyFont="1" applyAlignment="1">
      <alignment horizontal="left"/>
    </xf>
    <xf numFmtId="0" fontId="25" fillId="2" borderId="0" xfId="0" applyFont="1" applyFill="1" applyAlignment="1">
      <alignment vertical="center"/>
    </xf>
    <xf numFmtId="0" fontId="0" fillId="0" borderId="8" xfId="0" applyBorder="1"/>
    <xf numFmtId="0" fontId="61" fillId="15" borderId="1" xfId="0" applyFont="1" applyFill="1" applyBorder="1" applyAlignment="1">
      <alignment horizontal="center" vertical="center"/>
    </xf>
    <xf numFmtId="0" fontId="61" fillId="15" borderId="8" xfId="0" applyFont="1" applyFill="1" applyBorder="1" applyAlignment="1">
      <alignment horizontal="center" vertical="center"/>
    </xf>
    <xf numFmtId="0" fontId="61" fillId="15" borderId="1" xfId="0" applyFont="1" applyFill="1" applyBorder="1" applyAlignment="1">
      <alignment horizontal="center" vertical="center" wrapText="1"/>
    </xf>
    <xf numFmtId="0" fontId="5" fillId="15" borderId="1" xfId="0" applyFont="1" applyFill="1" applyBorder="1" applyAlignment="1">
      <alignment horizontal="center" vertical="center" wrapText="1"/>
    </xf>
    <xf numFmtId="0" fontId="14" fillId="0" borderId="0" xfId="0" applyFont="1"/>
    <xf numFmtId="0" fontId="26" fillId="4" borderId="1" xfId="3" applyFont="1" applyFill="1" applyBorder="1" applyAlignment="1" applyProtection="1">
      <alignment horizontal="center" vertical="center" wrapText="1"/>
    </xf>
    <xf numFmtId="0" fontId="17" fillId="0" borderId="1" xfId="2" applyFont="1" applyBorder="1" applyAlignment="1">
      <alignment vertical="center" wrapText="1"/>
    </xf>
    <xf numFmtId="0" fontId="62" fillId="4" borderId="1" xfId="3" applyFont="1" applyFill="1" applyBorder="1" applyAlignment="1" applyProtection="1">
      <alignment horizontal="center" vertical="center" wrapText="1"/>
    </xf>
    <xf numFmtId="0" fontId="17" fillId="14" borderId="1" xfId="14" applyFont="1" applyFill="1" applyBorder="1" applyAlignment="1">
      <alignment horizontal="left" vertical="top" wrapText="1"/>
    </xf>
    <xf numFmtId="0" fontId="63" fillId="4" borderId="1" xfId="3" applyFont="1" applyFill="1" applyBorder="1" applyAlignment="1" applyProtection="1">
      <alignment horizontal="center" vertical="center" wrapText="1"/>
    </xf>
    <xf numFmtId="0" fontId="17" fillId="14" borderId="1" xfId="14" applyFont="1" applyFill="1" applyBorder="1" applyAlignment="1">
      <alignment vertical="top" wrapText="1"/>
    </xf>
    <xf numFmtId="16" fontId="64" fillId="0" borderId="1" xfId="1" quotePrefix="1" applyNumberFormat="1" applyFont="1" applyBorder="1" applyAlignment="1">
      <alignment horizontal="center" vertical="center" wrapText="1"/>
    </xf>
    <xf numFmtId="0" fontId="17" fillId="14" borderId="2" xfId="14" applyFont="1" applyFill="1" applyBorder="1" applyAlignment="1">
      <alignment vertical="center" wrapText="1"/>
    </xf>
    <xf numFmtId="0" fontId="17" fillId="0" borderId="8" xfId="0" applyFont="1" applyBorder="1" applyAlignment="1">
      <alignment horizontal="center" vertical="center" wrapText="1"/>
    </xf>
    <xf numFmtId="0" fontId="17" fillId="0" borderId="1" xfId="1" applyFont="1" applyBorder="1" applyAlignment="1">
      <alignment vertical="center" wrapText="1"/>
    </xf>
    <xf numFmtId="0" fontId="17" fillId="15" borderId="1" xfId="0" applyFont="1" applyFill="1" applyBorder="1" applyAlignment="1">
      <alignment horizontal="center" vertical="center" wrapText="1"/>
    </xf>
    <xf numFmtId="0" fontId="17" fillId="15" borderId="8" xfId="0" applyFont="1" applyFill="1" applyBorder="1" applyAlignment="1">
      <alignment horizontal="center" vertical="center" wrapText="1"/>
    </xf>
    <xf numFmtId="16" fontId="17" fillId="15" borderId="1" xfId="1" quotePrefix="1" applyNumberFormat="1" applyFont="1" applyFill="1" applyBorder="1" applyAlignment="1">
      <alignment horizontal="center" vertical="center" wrapText="1"/>
    </xf>
    <xf numFmtId="0" fontId="14" fillId="15" borderId="0" xfId="0" applyFont="1" applyFill="1"/>
    <xf numFmtId="0" fontId="26" fillId="15" borderId="1" xfId="0" applyFont="1" applyFill="1" applyBorder="1" applyAlignment="1">
      <alignment horizontal="center" vertical="center" wrapText="1"/>
    </xf>
    <xf numFmtId="0" fontId="6" fillId="15" borderId="1" xfId="0" applyFont="1" applyFill="1" applyBorder="1" applyAlignment="1">
      <alignment horizontal="center" vertical="center" wrapText="1"/>
    </xf>
    <xf numFmtId="0" fontId="17" fillId="0" borderId="8" xfId="0" applyFont="1" applyBorder="1" applyAlignment="1">
      <alignment vertical="center"/>
    </xf>
    <xf numFmtId="0" fontId="17" fillId="15" borderId="1" xfId="2" applyFont="1" applyFill="1" applyBorder="1" applyAlignment="1">
      <alignment horizontal="center" vertical="center" wrapText="1"/>
    </xf>
    <xf numFmtId="0" fontId="17" fillId="15" borderId="1" xfId="1" applyFont="1" applyFill="1" applyBorder="1" applyAlignment="1">
      <alignment vertical="center" wrapText="1"/>
    </xf>
    <xf numFmtId="0" fontId="17" fillId="0" borderId="1" xfId="4" applyFont="1" applyBorder="1" applyAlignment="1">
      <alignment vertical="center" wrapText="1"/>
    </xf>
    <xf numFmtId="0" fontId="14" fillId="0" borderId="0" xfId="0" applyFont="1" applyAlignment="1">
      <alignment vertical="center" wrapText="1"/>
    </xf>
    <xf numFmtId="0" fontId="17" fillId="0" borderId="10" xfId="0" applyFont="1" applyBorder="1" applyAlignment="1">
      <alignment vertical="center" wrapText="1"/>
    </xf>
    <xf numFmtId="0" fontId="17" fillId="0" borderId="1" xfId="0" applyFont="1" applyBorder="1" applyAlignment="1">
      <alignment vertical="center" wrapText="1"/>
    </xf>
    <xf numFmtId="0" fontId="67" fillId="4" borderId="1" xfId="3" applyFont="1" applyFill="1" applyBorder="1" applyAlignment="1" applyProtection="1">
      <alignment horizontal="center" vertical="center" wrapText="1"/>
    </xf>
    <xf numFmtId="0" fontId="17" fillId="0" borderId="0" xfId="0" applyFont="1" applyAlignment="1">
      <alignment vertical="center" wrapText="1"/>
    </xf>
    <xf numFmtId="0" fontId="68" fillId="8" borderId="1" xfId="3" applyFont="1" applyFill="1" applyBorder="1" applyAlignment="1" applyProtection="1">
      <alignment horizontal="left" vertical="center" wrapText="1"/>
    </xf>
    <xf numFmtId="165" fontId="0" fillId="0" borderId="0" xfId="0" applyNumberFormat="1" applyAlignment="1">
      <alignment horizontal="center" vertical="center" wrapText="1"/>
    </xf>
    <xf numFmtId="0" fontId="0" fillId="0" borderId="0" xfId="0" applyAlignment="1">
      <alignment vertical="center" wrapText="1"/>
    </xf>
    <xf numFmtId="165" fontId="0" fillId="0" borderId="0" xfId="0" applyNumberFormat="1" applyAlignment="1">
      <alignment vertical="center" wrapText="1"/>
    </xf>
    <xf numFmtId="165" fontId="0" fillId="0" borderId="0" xfId="0" applyNumberFormat="1" applyAlignment="1">
      <alignment horizontal="left" vertical="center"/>
    </xf>
    <xf numFmtId="0" fontId="0" fillId="0" borderId="1" xfId="0" applyBorder="1" applyAlignment="1">
      <alignment horizontal="left" vertical="top"/>
    </xf>
    <xf numFmtId="0" fontId="0" fillId="0" borderId="1" xfId="0" applyBorder="1" applyAlignment="1">
      <alignment horizontal="center" vertical="top"/>
    </xf>
    <xf numFmtId="165" fontId="0" fillId="0" borderId="10" xfId="0" applyNumberFormat="1" applyBorder="1" applyAlignment="1">
      <alignment horizontal="center" vertical="top" wrapText="1"/>
    </xf>
    <xf numFmtId="165" fontId="7" fillId="0" borderId="1" xfId="10" applyNumberFormat="1" applyFont="1" applyBorder="1" applyAlignment="1">
      <alignment horizontal="left"/>
    </xf>
    <xf numFmtId="0" fontId="37" fillId="0" borderId="1" xfId="10" applyFont="1" applyBorder="1" applyAlignment="1">
      <alignment horizontal="left" wrapText="1"/>
    </xf>
    <xf numFmtId="0" fontId="7" fillId="0" borderId="1" xfId="10" applyFont="1" applyBorder="1" applyAlignment="1">
      <alignment horizontal="left" wrapText="1"/>
    </xf>
    <xf numFmtId="165" fontId="7" fillId="0" borderId="1" xfId="10" applyNumberFormat="1" applyFont="1" applyBorder="1" applyAlignment="1">
      <alignment horizontal="left" wrapText="1"/>
    </xf>
    <xf numFmtId="0" fontId="37" fillId="0" borderId="1" xfId="10" applyFont="1" applyBorder="1" applyAlignment="1">
      <alignment horizontal="left"/>
    </xf>
    <xf numFmtId="0" fontId="51" fillId="0" borderId="1" xfId="0" applyFont="1" applyBorder="1" applyAlignment="1">
      <alignment horizontal="left" wrapText="1"/>
    </xf>
    <xf numFmtId="0" fontId="7" fillId="0" borderId="1" xfId="10" applyFont="1" applyBorder="1" applyAlignment="1">
      <alignment horizontal="left"/>
    </xf>
    <xf numFmtId="0" fontId="43" fillId="0" borderId="1" xfId="10" applyFont="1" applyBorder="1" applyAlignment="1">
      <alignment horizontal="left" wrapText="1"/>
    </xf>
    <xf numFmtId="166" fontId="7" fillId="0" borderId="1" xfId="10" applyNumberFormat="1" applyFont="1" applyBorder="1" applyAlignment="1">
      <alignment horizontal="left"/>
    </xf>
    <xf numFmtId="0" fontId="7" fillId="16" borderId="1" xfId="10" applyFont="1" applyFill="1" applyBorder="1" applyAlignment="1">
      <alignment vertical="top"/>
    </xf>
    <xf numFmtId="0" fontId="7" fillId="16" borderId="1" xfId="10" applyFont="1" applyFill="1" applyBorder="1" applyAlignment="1">
      <alignment vertical="top" wrapText="1"/>
    </xf>
    <xf numFmtId="0" fontId="38" fillId="0" borderId="0" xfId="10" applyFont="1" applyAlignment="1">
      <alignment horizontal="left" vertical="top"/>
    </xf>
    <xf numFmtId="0" fontId="38" fillId="0" borderId="0" xfId="10" applyFont="1" applyAlignment="1">
      <alignment horizontal="left" vertical="top" wrapText="1"/>
    </xf>
    <xf numFmtId="0" fontId="38" fillId="10" borderId="0" xfId="10" applyFont="1" applyFill="1" applyAlignment="1">
      <alignment horizontal="left" vertical="top" wrapText="1"/>
    </xf>
    <xf numFmtId="0" fontId="7" fillId="0" borderId="0" xfId="10" applyFont="1" applyAlignment="1">
      <alignment horizontal="left" vertical="top" wrapText="1"/>
    </xf>
    <xf numFmtId="0" fontId="38" fillId="10" borderId="2" xfId="10" applyFont="1" applyFill="1" applyBorder="1" applyAlignment="1">
      <alignment horizontal="left" vertical="top" wrapText="1"/>
    </xf>
    <xf numFmtId="2" fontId="0" fillId="0" borderId="1" xfId="0" applyNumberFormat="1" applyBorder="1" applyAlignment="1">
      <alignment horizontal="center" vertical="center"/>
    </xf>
    <xf numFmtId="0" fontId="0" fillId="0" borderId="1" xfId="0" applyBorder="1" applyAlignment="1">
      <alignment horizontal="center" vertical="center" wrapText="1"/>
    </xf>
    <xf numFmtId="0" fontId="11" fillId="5" borderId="0" xfId="0" applyFont="1" applyFill="1" applyAlignment="1">
      <alignment horizontal="left" vertical="center"/>
    </xf>
    <xf numFmtId="0" fontId="0" fillId="0" borderId="1" xfId="0" applyBorder="1" applyAlignment="1">
      <alignment vertical="top" wrapText="1"/>
    </xf>
    <xf numFmtId="0" fontId="6" fillId="8" borderId="2" xfId="0" applyFont="1" applyFill="1" applyBorder="1" applyAlignment="1">
      <alignment horizontal="center" vertical="center" wrapText="1"/>
    </xf>
    <xf numFmtId="0" fontId="17" fillId="4" borderId="1" xfId="0" applyFont="1" applyFill="1" applyBorder="1" applyAlignment="1">
      <alignment horizontal="center" vertical="center" wrapText="1"/>
    </xf>
    <xf numFmtId="0" fontId="17" fillId="4" borderId="1" xfId="3" applyFont="1" applyFill="1" applyBorder="1" applyAlignment="1" applyProtection="1">
      <alignment horizontal="center" vertical="center" wrapText="1"/>
    </xf>
    <xf numFmtId="0" fontId="17" fillId="0" borderId="1" xfId="0" applyFont="1" applyBorder="1" applyAlignment="1">
      <alignment horizontal="center" vertical="center" wrapText="1"/>
    </xf>
    <xf numFmtId="16" fontId="17" fillId="0" borderId="1" xfId="1" quotePrefix="1" applyNumberFormat="1" applyFont="1" applyBorder="1" applyAlignment="1">
      <alignment horizontal="center" vertical="center" wrapText="1"/>
    </xf>
    <xf numFmtId="0" fontId="17" fillId="0" borderId="1" xfId="1" applyFont="1" applyBorder="1" applyAlignment="1">
      <alignment horizontal="left" vertical="center" wrapText="1"/>
    </xf>
    <xf numFmtId="0" fontId="17" fillId="0" borderId="1" xfId="2" applyFont="1" applyBorder="1" applyAlignment="1">
      <alignment horizontal="left" vertical="center" wrapText="1"/>
    </xf>
    <xf numFmtId="0" fontId="2" fillId="9" borderId="1" xfId="0" applyFont="1" applyFill="1" applyBorder="1" applyAlignment="1">
      <alignment horizontal="center" vertical="center" wrapText="1"/>
    </xf>
    <xf numFmtId="0" fontId="39" fillId="10" borderId="11" xfId="10" applyFont="1" applyFill="1" applyBorder="1" applyAlignment="1">
      <alignment horizontal="center" vertical="top" wrapText="1"/>
    </xf>
    <xf numFmtId="0" fontId="39" fillId="10" borderId="13" xfId="10" applyFont="1" applyFill="1" applyBorder="1" applyAlignment="1">
      <alignment horizontal="center" vertical="top" wrapText="1"/>
    </xf>
    <xf numFmtId="0" fontId="7" fillId="0" borderId="1" xfId="10" applyFont="1" applyBorder="1" applyAlignment="1">
      <alignment vertical="top" wrapText="1"/>
    </xf>
    <xf numFmtId="0" fontId="68" fillId="0" borderId="1" xfId="3" applyFont="1" applyBorder="1" applyAlignment="1" applyProtection="1">
      <alignment horizontal="left" vertical="top" wrapText="1"/>
    </xf>
    <xf numFmtId="0" fontId="68" fillId="0" borderId="1" xfId="3" applyFont="1" applyFill="1" applyBorder="1" applyAlignment="1" applyProtection="1">
      <alignment wrapText="1"/>
    </xf>
    <xf numFmtId="0" fontId="68" fillId="0" borderId="1" xfId="3" applyFont="1" applyFill="1" applyBorder="1" applyAlignment="1" applyProtection="1">
      <alignment vertical="top" wrapText="1"/>
    </xf>
    <xf numFmtId="0" fontId="68" fillId="0" borderId="1" xfId="3" applyFont="1" applyFill="1" applyBorder="1" applyAlignment="1" applyProtection="1">
      <alignment horizontal="left" vertical="top" wrapText="1"/>
    </xf>
    <xf numFmtId="0" fontId="68" fillId="0" borderId="1" xfId="3" applyFont="1" applyFill="1" applyBorder="1" applyAlignment="1" applyProtection="1">
      <alignment horizontal="left" vertical="center" wrapText="1"/>
    </xf>
    <xf numFmtId="0" fontId="7" fillId="0" borderId="0" xfId="13" applyFont="1"/>
    <xf numFmtId="166" fontId="7" fillId="0" borderId="1" xfId="13" applyNumberFormat="1" applyFont="1" applyBorder="1" applyAlignment="1">
      <alignment horizontal="left" vertical="top" wrapText="1"/>
    </xf>
    <xf numFmtId="166" fontId="8" fillId="0" borderId="1" xfId="3" applyNumberFormat="1" applyBorder="1" applyAlignment="1" applyProtection="1">
      <alignment horizontal="left" vertical="top" wrapText="1"/>
    </xf>
    <xf numFmtId="0" fontId="7" fillId="0" borderId="1" xfId="13" applyFont="1" applyBorder="1" applyAlignment="1">
      <alignment wrapText="1"/>
    </xf>
    <xf numFmtId="0" fontId="7" fillId="0" borderId="0" xfId="13" applyFont="1" applyAlignment="1">
      <alignment wrapText="1"/>
    </xf>
    <xf numFmtId="0" fontId="8" fillId="0" borderId="1" xfId="3" applyFill="1" applyBorder="1" applyAlignment="1" applyProtection="1">
      <alignment horizontal="left" vertical="top" wrapText="1"/>
    </xf>
    <xf numFmtId="0" fontId="8" fillId="0" borderId="1" xfId="3" applyBorder="1" applyAlignment="1" applyProtection="1">
      <alignment horizontal="left" vertical="top" wrapText="1"/>
    </xf>
    <xf numFmtId="166" fontId="7" fillId="0" borderId="1" xfId="13" applyNumberFormat="1" applyFont="1" applyBorder="1" applyAlignment="1">
      <alignment horizontal="left" vertical="top"/>
    </xf>
    <xf numFmtId="0" fontId="7" fillId="0" borderId="0" xfId="13" applyFont="1" applyAlignment="1">
      <alignment horizontal="left" vertical="top" wrapText="1"/>
    </xf>
    <xf numFmtId="0" fontId="8" fillId="0" borderId="0" xfId="3" applyAlignment="1" applyProtection="1">
      <alignment wrapText="1"/>
    </xf>
    <xf numFmtId="0" fontId="34" fillId="7" borderId="1" xfId="0" applyFont="1" applyFill="1" applyBorder="1"/>
    <xf numFmtId="0" fontId="69" fillId="14" borderId="0" xfId="0" applyFont="1" applyFill="1" applyAlignment="1">
      <alignment vertical="center" wrapText="1"/>
    </xf>
    <xf numFmtId="0" fontId="3" fillId="0" borderId="1" xfId="0" applyFont="1" applyBorder="1"/>
    <xf numFmtId="0" fontId="3" fillId="0" borderId="2" xfId="0" applyFont="1" applyBorder="1" applyAlignment="1">
      <alignment horizontal="center" vertical="center"/>
    </xf>
    <xf numFmtId="0" fontId="3" fillId="0" borderId="8" xfId="0" applyFont="1" applyBorder="1"/>
    <xf numFmtId="0" fontId="0" fillId="7" borderId="8" xfId="0" applyFill="1" applyBorder="1"/>
    <xf numFmtId="0" fontId="3" fillId="7" borderId="7" xfId="0" applyFont="1" applyFill="1" applyBorder="1" applyAlignment="1">
      <alignment horizontal="center" vertical="center"/>
    </xf>
    <xf numFmtId="0" fontId="69" fillId="14" borderId="0" xfId="0" applyFont="1" applyFill="1" applyAlignment="1">
      <alignment vertical="center"/>
    </xf>
    <xf numFmtId="0" fontId="10" fillId="17" borderId="2" xfId="0" applyFont="1" applyFill="1" applyBorder="1" applyAlignment="1">
      <alignment horizontal="center" vertical="center"/>
    </xf>
    <xf numFmtId="0" fontId="10" fillId="17" borderId="2" xfId="0" applyFont="1" applyFill="1" applyBorder="1" applyAlignment="1">
      <alignment horizontal="center" vertical="center" wrapText="1"/>
    </xf>
    <xf numFmtId="0" fontId="70" fillId="14" borderId="0" xfId="0" applyFont="1" applyFill="1" applyAlignment="1">
      <alignment vertical="center"/>
    </xf>
    <xf numFmtId="0" fontId="10" fillId="17" borderId="6" xfId="0" applyFont="1" applyFill="1" applyBorder="1" applyAlignment="1">
      <alignment horizontal="center" vertical="center" wrapText="1"/>
    </xf>
    <xf numFmtId="0" fontId="69" fillId="17" borderId="6" xfId="0" applyFont="1" applyFill="1" applyBorder="1" applyAlignment="1">
      <alignment horizontal="center" vertical="center" wrapText="1"/>
    </xf>
    <xf numFmtId="0" fontId="69" fillId="17" borderId="6" xfId="0" applyFont="1" applyFill="1" applyBorder="1" applyAlignment="1">
      <alignment horizontal="left" vertical="center" wrapText="1"/>
    </xf>
    <xf numFmtId="0" fontId="0" fillId="14" borderId="1" xfId="0" applyFill="1" applyBorder="1" applyAlignment="1">
      <alignment horizontal="center" vertical="center"/>
    </xf>
    <xf numFmtId="0" fontId="0" fillId="14" borderId="1" xfId="0" applyFill="1" applyBorder="1" applyAlignment="1">
      <alignment vertical="center" wrapText="1"/>
    </xf>
    <xf numFmtId="0" fontId="0" fillId="14" borderId="1" xfId="0" applyFill="1" applyBorder="1" applyAlignment="1">
      <alignment horizontal="center" vertical="center" wrapText="1"/>
    </xf>
    <xf numFmtId="0" fontId="0" fillId="14" borderId="0" xfId="0" applyFill="1" applyAlignment="1">
      <alignment vertical="center"/>
    </xf>
    <xf numFmtId="0" fontId="0" fillId="14" borderId="0" xfId="0" applyFill="1" applyAlignment="1">
      <alignment horizontal="center" vertical="center"/>
    </xf>
    <xf numFmtId="0" fontId="0" fillId="14" borderId="0" xfId="0" applyFill="1" applyAlignment="1">
      <alignment vertical="center" wrapText="1"/>
    </xf>
    <xf numFmtId="0" fontId="0" fillId="14" borderId="0" xfId="0" applyFill="1" applyAlignment="1">
      <alignment horizontal="center" vertical="center" wrapText="1"/>
    </xf>
    <xf numFmtId="0" fontId="4" fillId="14" borderId="0" xfId="0" applyFont="1" applyFill="1" applyAlignment="1">
      <alignment horizontal="center" vertical="center"/>
    </xf>
    <xf numFmtId="2" fontId="0" fillId="0" borderId="1" xfId="0" applyNumberFormat="1" applyFill="1" applyBorder="1" applyAlignment="1">
      <alignment horizontal="center" vertical="center"/>
    </xf>
    <xf numFmtId="0" fontId="41" fillId="11" borderId="9" xfId="0" applyFont="1" applyFill="1" applyBorder="1" applyAlignment="1">
      <alignment horizontal="left" vertical="top" wrapText="1"/>
    </xf>
    <xf numFmtId="0" fontId="41" fillId="11" borderId="8" xfId="0" applyFont="1" applyFill="1" applyBorder="1" applyAlignment="1">
      <alignment horizontal="left" vertical="top" wrapText="1"/>
    </xf>
    <xf numFmtId="0" fontId="41" fillId="11" borderId="8" xfId="0" applyFont="1" applyFill="1" applyBorder="1" applyAlignment="1">
      <alignment vertical="top" wrapText="1"/>
    </xf>
    <xf numFmtId="0" fontId="7" fillId="16" borderId="8" xfId="10" applyFont="1" applyFill="1" applyBorder="1" applyAlignment="1">
      <alignment vertical="top"/>
    </xf>
    <xf numFmtId="0" fontId="37" fillId="0" borderId="8" xfId="0" applyFont="1" applyBorder="1" applyAlignment="1">
      <alignment horizontal="center" vertical="center" wrapText="1"/>
    </xf>
    <xf numFmtId="0" fontId="7" fillId="0" borderId="8" xfId="10" applyFont="1" applyBorder="1" applyAlignment="1">
      <alignment vertical="top"/>
    </xf>
    <xf numFmtId="0" fontId="7" fillId="0" borderId="8" xfId="10" applyFont="1" applyBorder="1" applyAlignment="1">
      <alignment horizontal="left" vertical="top" wrapText="1"/>
    </xf>
    <xf numFmtId="0" fontId="37" fillId="12" borderId="10" xfId="0" applyFont="1" applyFill="1" applyBorder="1" applyAlignment="1">
      <alignment vertical="top" wrapText="1"/>
    </xf>
    <xf numFmtId="0" fontId="37" fillId="11" borderId="8" xfId="0" applyFont="1" applyFill="1" applyBorder="1" applyAlignment="1">
      <alignment vertical="top" wrapText="1"/>
    </xf>
    <xf numFmtId="0" fontId="37" fillId="11" borderId="8" xfId="10" applyFont="1" applyFill="1" applyBorder="1" applyAlignment="1">
      <alignment horizontal="left" vertical="top" wrapText="1"/>
    </xf>
    <xf numFmtId="0" fontId="37" fillId="11" borderId="8" xfId="10" applyFont="1" applyFill="1" applyBorder="1" applyAlignment="1">
      <alignment vertical="top"/>
    </xf>
    <xf numFmtId="0" fontId="37" fillId="12" borderId="11" xfId="0" applyFont="1" applyFill="1" applyBorder="1" applyAlignment="1">
      <alignment horizontal="left" vertical="top" wrapText="1"/>
    </xf>
    <xf numFmtId="0" fontId="37" fillId="11" borderId="8" xfId="0" applyFont="1" applyFill="1" applyBorder="1" applyAlignment="1">
      <alignment horizontal="left" vertical="top" wrapText="1"/>
    </xf>
    <xf numFmtId="0" fontId="37" fillId="11" borderId="8" xfId="10" applyFont="1" applyFill="1" applyBorder="1" applyAlignment="1">
      <alignment vertical="top" wrapText="1"/>
    </xf>
    <xf numFmtId="0" fontId="53" fillId="0" borderId="8" xfId="0" applyFont="1" applyBorder="1" applyAlignment="1">
      <alignment horizontal="center" vertical="center" readingOrder="1"/>
    </xf>
    <xf numFmtId="0" fontId="53" fillId="0" borderId="8" xfId="0" applyFont="1" applyBorder="1" applyAlignment="1">
      <alignment horizontal="center" vertical="center" wrapText="1" readingOrder="1"/>
    </xf>
    <xf numFmtId="0" fontId="41" fillId="11" borderId="8" xfId="10" applyFont="1" applyFill="1" applyBorder="1" applyAlignment="1">
      <alignment horizontal="left" vertical="top" wrapText="1"/>
    </xf>
    <xf numFmtId="0" fontId="56" fillId="8" borderId="8" xfId="0" applyFont="1" applyFill="1" applyBorder="1" applyAlignment="1">
      <alignment horizontal="left" vertical="top" wrapText="1"/>
    </xf>
    <xf numFmtId="0" fontId="37" fillId="8" borderId="8" xfId="10" applyFont="1" applyFill="1" applyBorder="1" applyAlignment="1">
      <alignment horizontal="left" vertical="top"/>
    </xf>
    <xf numFmtId="0" fontId="7" fillId="8" borderId="8" xfId="10" applyFont="1" applyFill="1" applyBorder="1" applyAlignment="1">
      <alignment horizontal="left" vertical="top"/>
    </xf>
    <xf numFmtId="0" fontId="40" fillId="0" borderId="8" xfId="10" applyFont="1" applyBorder="1"/>
    <xf numFmtId="0" fontId="41" fillId="11" borderId="7" xfId="10" applyFont="1" applyFill="1" applyBorder="1" applyAlignment="1" applyProtection="1">
      <alignment horizontal="left" vertical="top" wrapText="1"/>
      <protection locked="0"/>
    </xf>
    <xf numFmtId="0" fontId="7" fillId="16" borderId="7" xfId="10" applyFont="1" applyFill="1" applyBorder="1" applyAlignment="1">
      <alignment vertical="top"/>
    </xf>
    <xf numFmtId="0" fontId="37" fillId="0" borderId="7" xfId="0" applyFont="1" applyBorder="1" applyAlignment="1">
      <alignment horizontal="center" vertical="center" wrapText="1"/>
    </xf>
    <xf numFmtId="0" fontId="7" fillId="0" borderId="7" xfId="10" applyFont="1" applyBorder="1" applyAlignment="1">
      <alignment vertical="top"/>
    </xf>
    <xf numFmtId="0" fontId="7" fillId="0" borderId="7" xfId="10" applyFont="1" applyBorder="1" applyAlignment="1">
      <alignment horizontal="left" vertical="top" wrapText="1"/>
    </xf>
    <xf numFmtId="0" fontId="37" fillId="12" borderId="13" xfId="0" applyFont="1" applyFill="1" applyBorder="1" applyAlignment="1">
      <alignment vertical="top" wrapText="1"/>
    </xf>
    <xf numFmtId="0" fontId="37" fillId="11" borderId="7" xfId="0" applyFont="1" applyFill="1" applyBorder="1" applyAlignment="1">
      <alignment horizontal="left" vertical="top" wrapText="1"/>
    </xf>
    <xf numFmtId="0" fontId="47" fillId="11" borderId="7" xfId="0" applyFont="1" applyFill="1" applyBorder="1" applyAlignment="1">
      <alignment vertical="top" wrapText="1"/>
    </xf>
    <xf numFmtId="0" fontId="37" fillId="11" borderId="7" xfId="10" applyFont="1" applyFill="1" applyBorder="1" applyAlignment="1">
      <alignment vertical="top" wrapText="1"/>
    </xf>
    <xf numFmtId="0" fontId="53" fillId="0" borderId="7" xfId="0" applyFont="1" applyBorder="1" applyAlignment="1">
      <alignment horizontal="center" vertical="center" readingOrder="1"/>
    </xf>
    <xf numFmtId="0" fontId="37" fillId="0" borderId="7" xfId="0" applyFont="1" applyBorder="1" applyAlignment="1">
      <alignment horizontal="center" vertical="center" wrapText="1" readingOrder="1"/>
    </xf>
    <xf numFmtId="0" fontId="37" fillId="11" borderId="7" xfId="10" applyFont="1" applyFill="1" applyBorder="1" applyAlignment="1">
      <alignment horizontal="left" vertical="top" wrapText="1"/>
    </xf>
    <xf numFmtId="0" fontId="53" fillId="0" borderId="7" xfId="0" applyFont="1" applyBorder="1" applyAlignment="1">
      <alignment horizontal="center" vertical="center" wrapText="1" readingOrder="1"/>
    </xf>
    <xf numFmtId="0" fontId="41" fillId="11" borderId="7" xfId="10" applyFont="1" applyFill="1" applyBorder="1" applyAlignment="1">
      <alignment horizontal="left" vertical="top" wrapText="1"/>
    </xf>
    <xf numFmtId="0" fontId="37" fillId="11" borderId="7" xfId="10" applyFont="1" applyFill="1" applyBorder="1" applyAlignment="1">
      <alignment vertical="top"/>
    </xf>
    <xf numFmtId="0" fontId="56" fillId="8" borderId="7" xfId="0" applyFont="1" applyFill="1" applyBorder="1" applyAlignment="1">
      <alignment horizontal="left" vertical="top" wrapText="1"/>
    </xf>
    <xf numFmtId="0" fontId="37" fillId="8" borderId="7" xfId="10" applyFont="1" applyFill="1" applyBorder="1" applyAlignment="1">
      <alignment horizontal="left" vertical="top" wrapText="1"/>
    </xf>
    <xf numFmtId="0" fontId="8" fillId="0" borderId="7" xfId="3" applyBorder="1" applyAlignment="1" applyProtection="1">
      <alignment wrapText="1"/>
    </xf>
    <xf numFmtId="0" fontId="37" fillId="14" borderId="7" xfId="10" applyFont="1" applyFill="1" applyBorder="1" applyAlignment="1">
      <alignment horizontal="left" vertical="top"/>
    </xf>
    <xf numFmtId="0" fontId="36" fillId="14" borderId="7" xfId="10" applyFill="1" applyBorder="1" applyAlignment="1">
      <alignment horizontal="left" vertical="top"/>
    </xf>
    <xf numFmtId="0" fontId="8" fillId="14" borderId="7" xfId="3" applyFill="1" applyBorder="1" applyAlignment="1" applyProtection="1">
      <alignment horizontal="left" vertical="top" wrapText="1"/>
    </xf>
    <xf numFmtId="0" fontId="38" fillId="10" borderId="2" xfId="10" applyFont="1" applyFill="1" applyBorder="1" applyAlignment="1">
      <alignment horizontal="left" vertical="top"/>
    </xf>
    <xf numFmtId="0" fontId="41" fillId="11" borderId="2" xfId="0" applyFont="1" applyFill="1" applyBorder="1" applyAlignment="1">
      <alignment horizontal="left" vertical="top" wrapText="1"/>
    </xf>
    <xf numFmtId="0" fontId="7" fillId="16" borderId="2" xfId="10" applyFont="1" applyFill="1" applyBorder="1" applyAlignment="1">
      <alignment vertical="top"/>
    </xf>
    <xf numFmtId="0" fontId="7" fillId="0" borderId="2" xfId="10" applyFont="1" applyBorder="1" applyAlignment="1">
      <alignment horizontal="left" vertical="top" wrapText="1"/>
    </xf>
    <xf numFmtId="2" fontId="0" fillId="0" borderId="2" xfId="0" applyNumberFormat="1" applyBorder="1" applyAlignment="1">
      <alignment horizontal="center" vertical="center"/>
    </xf>
    <xf numFmtId="0" fontId="68" fillId="0" borderId="2" xfId="3" applyFont="1" applyBorder="1" applyAlignment="1" applyProtection="1">
      <alignment horizontal="left" vertical="top" wrapText="1"/>
    </xf>
    <xf numFmtId="0" fontId="0" fillId="0" borderId="2" xfId="0" applyBorder="1" applyAlignment="1">
      <alignment horizontal="center" vertical="center" wrapText="1"/>
    </xf>
    <xf numFmtId="0" fontId="68" fillId="0" borderId="2" xfId="3" applyFont="1" applyFill="1" applyBorder="1" applyAlignment="1" applyProtection="1">
      <alignment horizontal="left" vertical="top" wrapText="1"/>
    </xf>
    <xf numFmtId="0" fontId="7" fillId="0" borderId="2" xfId="10" applyFont="1" applyBorder="1" applyAlignment="1">
      <alignment horizontal="left" wrapText="1"/>
    </xf>
    <xf numFmtId="165" fontId="7" fillId="0" borderId="2" xfId="10" applyNumberFormat="1" applyFont="1" applyBorder="1" applyAlignment="1">
      <alignment horizontal="left" wrapText="1"/>
    </xf>
    <xf numFmtId="0" fontId="59" fillId="11" borderId="2" xfId="3" applyFont="1" applyFill="1" applyBorder="1" applyAlignment="1" applyProtection="1">
      <alignment vertical="top" wrapText="1"/>
    </xf>
    <xf numFmtId="0" fontId="37" fillId="0" borderId="2" xfId="10" applyFont="1" applyBorder="1" applyAlignment="1">
      <alignment horizontal="left"/>
    </xf>
    <xf numFmtId="0" fontId="7" fillId="0" borderId="2" xfId="10" applyFont="1" applyBorder="1"/>
    <xf numFmtId="0" fontId="37" fillId="11" borderId="2" xfId="10" applyFont="1" applyFill="1" applyBorder="1" applyAlignment="1">
      <alignment vertical="top"/>
    </xf>
    <xf numFmtId="0" fontId="37" fillId="11" borderId="2" xfId="10" applyFont="1" applyFill="1" applyBorder="1" applyAlignment="1">
      <alignment horizontal="left" vertical="top" wrapText="1"/>
    </xf>
    <xf numFmtId="0" fontId="37" fillId="0" borderId="2" xfId="10" applyFont="1" applyBorder="1" applyAlignment="1">
      <alignment horizontal="left" wrapText="1"/>
    </xf>
    <xf numFmtId="0" fontId="40" fillId="0" borderId="2" xfId="10" applyFont="1" applyBorder="1"/>
    <xf numFmtId="0" fontId="37" fillId="11" borderId="2" xfId="0" applyFont="1" applyFill="1" applyBorder="1" applyAlignment="1">
      <alignment vertical="top" wrapText="1"/>
    </xf>
    <xf numFmtId="0" fontId="8" fillId="0" borderId="2" xfId="3" applyBorder="1" applyAlignment="1" applyProtection="1">
      <alignment horizontal="left" vertical="top" wrapText="1"/>
    </xf>
    <xf numFmtId="0" fontId="8" fillId="0" borderId="2" xfId="3" applyFill="1" applyBorder="1" applyAlignment="1" applyProtection="1">
      <alignment horizontal="left" vertical="top" wrapText="1"/>
    </xf>
    <xf numFmtId="0" fontId="68" fillId="0" borderId="2" xfId="3" applyFont="1" applyFill="1" applyBorder="1" applyAlignment="1" applyProtection="1">
      <alignment horizontal="left" vertical="center" wrapText="1"/>
    </xf>
    <xf numFmtId="0" fontId="60" fillId="11" borderId="2" xfId="3" applyFont="1" applyFill="1" applyBorder="1" applyAlignment="1" applyProtection="1">
      <alignment horizontal="left" vertical="top" wrapText="1"/>
    </xf>
    <xf numFmtId="0" fontId="41" fillId="11" borderId="2" xfId="10" applyFont="1" applyFill="1" applyBorder="1" applyAlignment="1">
      <alignment horizontal="left" vertical="top" wrapText="1"/>
    </xf>
    <xf numFmtId="0" fontId="41" fillId="11" borderId="2" xfId="10" applyFont="1" applyFill="1" applyBorder="1" applyAlignment="1">
      <alignment vertical="top" wrapText="1"/>
    </xf>
    <xf numFmtId="0" fontId="43" fillId="0" borderId="2" xfId="10" applyFont="1" applyBorder="1" applyAlignment="1">
      <alignment horizontal="left" wrapText="1"/>
    </xf>
    <xf numFmtId="166" fontId="7" fillId="0" borderId="2" xfId="10" applyNumberFormat="1" applyFont="1" applyBorder="1" applyAlignment="1">
      <alignment horizontal="left"/>
    </xf>
    <xf numFmtId="0" fontId="56" fillId="8" borderId="2" xfId="0" applyFont="1" applyFill="1" applyBorder="1" applyAlignment="1">
      <alignment horizontal="left" vertical="top" wrapText="1"/>
    </xf>
    <xf numFmtId="0" fontId="7" fillId="0" borderId="2" xfId="10" applyFont="1" applyBorder="1" applyAlignment="1">
      <alignment horizontal="left"/>
    </xf>
    <xf numFmtId="0" fontId="41" fillId="11" borderId="3" xfId="0" applyFont="1" applyFill="1" applyBorder="1" applyAlignment="1">
      <alignment horizontal="left" vertical="top" wrapText="1"/>
    </xf>
    <xf numFmtId="0" fontId="7" fillId="16" borderId="3" xfId="10" applyFont="1" applyFill="1" applyBorder="1" applyAlignment="1">
      <alignment vertical="top"/>
    </xf>
    <xf numFmtId="0" fontId="7" fillId="0" borderId="3" xfId="10" applyFont="1" applyBorder="1" applyAlignment="1">
      <alignment horizontal="left" vertical="top" wrapText="1"/>
    </xf>
    <xf numFmtId="2" fontId="0" fillId="0" borderId="3" xfId="0" applyNumberFormat="1" applyBorder="1" applyAlignment="1">
      <alignment horizontal="center" vertical="center"/>
    </xf>
    <xf numFmtId="0" fontId="68" fillId="0" borderId="3" xfId="3" applyFont="1" applyBorder="1" applyAlignment="1" applyProtection="1">
      <alignment horizontal="left" vertical="top" wrapText="1"/>
    </xf>
    <xf numFmtId="0" fontId="0" fillId="0" borderId="3" xfId="0" applyBorder="1" applyAlignment="1">
      <alignment horizontal="center" vertical="center" wrapText="1"/>
    </xf>
    <xf numFmtId="0" fontId="68" fillId="0" borderId="3" xfId="3" applyFont="1" applyFill="1" applyBorder="1" applyAlignment="1" applyProtection="1">
      <alignment horizontal="left" vertical="top" wrapText="1"/>
    </xf>
    <xf numFmtId="0" fontId="7" fillId="0" borderId="3" xfId="10" applyFont="1" applyBorder="1" applyAlignment="1">
      <alignment horizontal="left" wrapText="1"/>
    </xf>
    <xf numFmtId="165" fontId="7" fillId="0" borderId="3" xfId="10" applyNumberFormat="1" applyFont="1" applyBorder="1" applyAlignment="1">
      <alignment horizontal="left" wrapText="1"/>
    </xf>
    <xf numFmtId="0" fontId="43" fillId="0" borderId="3" xfId="10" applyFont="1" applyBorder="1" applyAlignment="1">
      <alignment horizontal="left"/>
    </xf>
    <xf numFmtId="15" fontId="7" fillId="0" borderId="3" xfId="10" applyNumberFormat="1" applyFont="1" applyBorder="1" applyAlignment="1">
      <alignment wrapText="1"/>
    </xf>
    <xf numFmtId="0" fontId="41" fillId="11" borderId="6" xfId="10" applyFont="1" applyFill="1" applyBorder="1" applyAlignment="1">
      <alignment vertical="top" wrapText="1"/>
    </xf>
    <xf numFmtId="0" fontId="41" fillId="11" borderId="6" xfId="0" applyFont="1" applyFill="1" applyBorder="1" applyAlignment="1">
      <alignment horizontal="left" vertical="top" wrapText="1"/>
    </xf>
    <xf numFmtId="0" fontId="7" fillId="16" borderId="6" xfId="10" applyFont="1" applyFill="1" applyBorder="1" applyAlignment="1">
      <alignment vertical="top"/>
    </xf>
    <xf numFmtId="0" fontId="7" fillId="0" borderId="6" xfId="10" applyFont="1" applyBorder="1" applyAlignment="1">
      <alignment horizontal="left" vertical="top" wrapText="1"/>
    </xf>
    <xf numFmtId="2" fontId="0" fillId="0" borderId="6" xfId="0" applyNumberFormat="1" applyBorder="1" applyAlignment="1">
      <alignment horizontal="center" vertical="center"/>
    </xf>
    <xf numFmtId="0" fontId="68" fillId="0" borderId="6" xfId="3" applyFont="1" applyBorder="1" applyAlignment="1" applyProtection="1">
      <alignment horizontal="left" vertical="top" wrapText="1"/>
    </xf>
    <xf numFmtId="0" fontId="0" fillId="0" borderId="6" xfId="0" applyBorder="1" applyAlignment="1">
      <alignment horizontal="center" vertical="center" wrapText="1"/>
    </xf>
    <xf numFmtId="0" fontId="68" fillId="0" borderId="6" xfId="3" applyFont="1" applyFill="1" applyBorder="1" applyAlignment="1" applyProtection="1">
      <alignment horizontal="left" vertical="top" wrapText="1"/>
    </xf>
    <xf numFmtId="0" fontId="7" fillId="0" borderId="6" xfId="10" applyFont="1" applyBorder="1" applyAlignment="1">
      <alignment horizontal="left" wrapText="1"/>
    </xf>
    <xf numFmtId="165" fontId="7" fillId="0" borderId="6" xfId="10" applyNumberFormat="1" applyFont="1" applyBorder="1" applyAlignment="1">
      <alignment horizontal="left" wrapText="1"/>
    </xf>
    <xf numFmtId="0" fontId="41" fillId="0" borderId="6" xfId="10" applyFont="1" applyBorder="1" applyAlignment="1">
      <alignment horizontal="left"/>
    </xf>
    <xf numFmtId="14" fontId="51" fillId="0" borderId="6" xfId="10" applyNumberFormat="1" applyFont="1" applyBorder="1"/>
    <xf numFmtId="0" fontId="60" fillId="11" borderId="3" xfId="3" applyFont="1" applyFill="1" applyBorder="1" applyAlignment="1" applyProtection="1">
      <alignment vertical="top" wrapText="1"/>
    </xf>
    <xf numFmtId="0" fontId="47" fillId="11" borderId="3" xfId="0" applyFont="1" applyFill="1" applyBorder="1" applyAlignment="1">
      <alignment vertical="top" wrapText="1"/>
    </xf>
    <xf numFmtId="0" fontId="37" fillId="11" borderId="3" xfId="10" applyFont="1" applyFill="1" applyBorder="1" applyAlignment="1">
      <alignment vertical="top"/>
    </xf>
    <xf numFmtId="0" fontId="7" fillId="0" borderId="3" xfId="10" applyFont="1" applyBorder="1" applyAlignment="1">
      <alignment vertical="top" wrapText="1"/>
    </xf>
    <xf numFmtId="0" fontId="37" fillId="0" borderId="3" xfId="10" applyFont="1" applyBorder="1" applyAlignment="1">
      <alignment horizontal="left"/>
    </xf>
    <xf numFmtId="0" fontId="7" fillId="0" borderId="3" xfId="10" applyFont="1" applyBorder="1"/>
    <xf numFmtId="0" fontId="37" fillId="11" borderId="3" xfId="3" applyFont="1" applyFill="1" applyBorder="1" applyAlignment="1" applyProtection="1">
      <alignment horizontal="left" vertical="top" wrapText="1"/>
    </xf>
    <xf numFmtId="0" fontId="37" fillId="11" borderId="3" xfId="10" applyFont="1" applyFill="1" applyBorder="1" applyAlignment="1">
      <alignment horizontal="left" vertical="top" wrapText="1"/>
    </xf>
    <xf numFmtId="0" fontId="51" fillId="0" borderId="3" xfId="0" applyFont="1" applyBorder="1" applyAlignment="1">
      <alignment horizontal="left" wrapText="1"/>
    </xf>
    <xf numFmtId="0" fontId="37" fillId="0" borderId="3" xfId="10" applyFont="1" applyBorder="1" applyAlignment="1">
      <alignment horizontal="left" wrapText="1"/>
    </xf>
    <xf numFmtId="0" fontId="40" fillId="0" borderId="3" xfId="10" applyFont="1" applyBorder="1"/>
    <xf numFmtId="0" fontId="60" fillId="11" borderId="6" xfId="3" applyFont="1" applyFill="1" applyBorder="1" applyAlignment="1" applyProtection="1">
      <alignment vertical="top" wrapText="1"/>
    </xf>
    <xf numFmtId="0" fontId="37" fillId="11" borderId="6" xfId="10" applyFont="1" applyFill="1" applyBorder="1" applyAlignment="1">
      <alignment horizontal="left" vertical="top" wrapText="1"/>
    </xf>
    <xf numFmtId="0" fontId="37" fillId="11" borderId="6" xfId="10" applyFont="1" applyFill="1" applyBorder="1" applyAlignment="1">
      <alignment vertical="top"/>
    </xf>
    <xf numFmtId="0" fontId="37" fillId="0" borderId="6" xfId="10" applyFont="1" applyBorder="1" applyAlignment="1">
      <alignment horizontal="left"/>
    </xf>
    <xf numFmtId="0" fontId="7" fillId="0" borderId="6" xfId="10" applyFont="1" applyBorder="1"/>
    <xf numFmtId="0" fontId="7" fillId="0" borderId="6" xfId="10" applyFont="1" applyBorder="1" applyAlignment="1">
      <alignment vertical="top" wrapText="1"/>
    </xf>
    <xf numFmtId="0" fontId="8" fillId="0" borderId="6" xfId="3" applyBorder="1" applyAlignment="1" applyProtection="1">
      <alignment vertical="top" wrapText="1"/>
    </xf>
    <xf numFmtId="0" fontId="8" fillId="0" borderId="6" xfId="3" applyFill="1" applyBorder="1" applyAlignment="1" applyProtection="1">
      <alignment horizontal="left" vertical="top" wrapText="1"/>
    </xf>
    <xf numFmtId="0" fontId="37" fillId="11" borderId="6" xfId="0" applyFont="1" applyFill="1" applyBorder="1" applyAlignment="1">
      <alignment vertical="top" wrapText="1"/>
    </xf>
    <xf numFmtId="0" fontId="8" fillId="0" borderId="6" xfId="3" applyBorder="1" applyAlignment="1" applyProtection="1">
      <alignment horizontal="left" vertical="top" wrapText="1"/>
    </xf>
    <xf numFmtId="0" fontId="41" fillId="11" borderId="6" xfId="0" applyFont="1" applyFill="1" applyBorder="1" applyAlignment="1">
      <alignment vertical="top" wrapText="1"/>
    </xf>
    <xf numFmtId="0" fontId="41" fillId="11" borderId="6" xfId="10" applyFont="1" applyFill="1" applyBorder="1" applyAlignment="1">
      <alignment horizontal="left" vertical="top" wrapText="1"/>
    </xf>
    <xf numFmtId="0" fontId="9" fillId="0" borderId="6" xfId="11" applyFont="1" applyFill="1" applyBorder="1" applyAlignment="1" applyProtection="1">
      <alignment horizontal="left" vertical="top" wrapText="1"/>
    </xf>
    <xf numFmtId="0" fontId="37" fillId="0" borderId="6" xfId="10" applyFont="1" applyBorder="1" applyAlignment="1">
      <alignment horizontal="left" wrapText="1"/>
    </xf>
    <xf numFmtId="0" fontId="40" fillId="0" borderId="6" xfId="10" applyFont="1" applyBorder="1"/>
    <xf numFmtId="0" fontId="43" fillId="0" borderId="6" xfId="10" applyFont="1" applyBorder="1" applyAlignment="1">
      <alignment horizontal="left" wrapText="1"/>
    </xf>
    <xf numFmtId="0" fontId="42" fillId="0" borderId="6" xfId="10" applyFont="1" applyBorder="1"/>
    <xf numFmtId="0" fontId="56" fillId="8" borderId="6" xfId="0" applyFont="1" applyFill="1" applyBorder="1" applyAlignment="1">
      <alignment horizontal="left" vertical="top" wrapText="1"/>
    </xf>
    <xf numFmtId="0" fontId="7" fillId="0" borderId="6" xfId="10" applyFont="1" applyBorder="1" applyAlignment="1">
      <alignment horizontal="left"/>
    </xf>
    <xf numFmtId="166" fontId="7" fillId="0" borderId="6" xfId="10" applyNumberFormat="1" applyFont="1" applyBorder="1" applyAlignment="1">
      <alignment horizontal="left"/>
    </xf>
    <xf numFmtId="0" fontId="37" fillId="0" borderId="1" xfId="10" applyFont="1" applyBorder="1" applyAlignment="1">
      <alignment horizontal="center" vertical="center"/>
    </xf>
    <xf numFmtId="0" fontId="7" fillId="0" borderId="1" xfId="10" applyFont="1" applyBorder="1" applyAlignment="1">
      <alignment wrapText="1"/>
    </xf>
    <xf numFmtId="0" fontId="7" fillId="0" borderId="1" xfId="10" applyFont="1" applyBorder="1" applyAlignment="1">
      <alignment horizontal="center" vertical="center"/>
    </xf>
    <xf numFmtId="0" fontId="36" fillId="0" borderId="1" xfId="10" applyBorder="1"/>
    <xf numFmtId="0" fontId="36" fillId="0" borderId="1" xfId="10" applyBorder="1" applyAlignment="1">
      <alignment wrapText="1"/>
    </xf>
    <xf numFmtId="0" fontId="38" fillId="14" borderId="1" xfId="10" applyFont="1" applyFill="1" applyBorder="1" applyAlignment="1">
      <alignment horizontal="left" vertical="top" wrapText="1"/>
    </xf>
    <xf numFmtId="0" fontId="8" fillId="14" borderId="1" xfId="3" applyFill="1" applyBorder="1" applyAlignment="1" applyProtection="1">
      <alignment wrapText="1"/>
    </xf>
    <xf numFmtId="0" fontId="37" fillId="14" borderId="1" xfId="10" applyFont="1" applyFill="1" applyBorder="1" applyAlignment="1">
      <alignment vertical="top"/>
    </xf>
    <xf numFmtId="0" fontId="37" fillId="0" borderId="1" xfId="10" applyFont="1" applyBorder="1" applyAlignment="1">
      <alignment vertical="top"/>
    </xf>
    <xf numFmtId="0" fontId="37" fillId="0" borderId="1" xfId="10" applyFont="1" applyBorder="1"/>
    <xf numFmtId="0" fontId="8" fillId="0" borderId="1" xfId="3" applyFill="1" applyBorder="1" applyAlignment="1" applyProtection="1">
      <alignment wrapText="1"/>
    </xf>
    <xf numFmtId="0" fontId="37" fillId="0" borderId="1" xfId="10" applyFont="1" applyBorder="1" applyAlignment="1">
      <alignment wrapText="1"/>
    </xf>
    <xf numFmtId="0" fontId="8" fillId="14" borderId="1" xfId="3" applyFill="1" applyBorder="1" applyAlignment="1" applyProtection="1">
      <alignment vertical="top" wrapText="1"/>
    </xf>
    <xf numFmtId="0" fontId="37" fillId="14" borderId="1" xfId="10" applyFont="1" applyFill="1" applyBorder="1" applyAlignment="1">
      <alignment horizontal="left" vertical="top" wrapText="1"/>
    </xf>
    <xf numFmtId="2" fontId="0" fillId="14" borderId="1" xfId="0" applyNumberFormat="1" applyFill="1" applyBorder="1" applyAlignment="1">
      <alignment horizontal="center" vertical="center"/>
    </xf>
    <xf numFmtId="0" fontId="7" fillId="14" borderId="1" xfId="10" applyFont="1" applyFill="1" applyBorder="1" applyAlignment="1">
      <alignment horizontal="left" vertical="top" wrapText="1"/>
    </xf>
    <xf numFmtId="0" fontId="7" fillId="14" borderId="1" xfId="10" applyFont="1" applyFill="1" applyBorder="1" applyAlignment="1">
      <alignment horizontal="left" vertical="top"/>
    </xf>
    <xf numFmtId="0" fontId="71" fillId="14" borderId="19" xfId="3" applyFont="1" applyFill="1" applyBorder="1" applyAlignment="1" applyProtection="1">
      <alignment vertical="center" wrapText="1"/>
    </xf>
    <xf numFmtId="0" fontId="14" fillId="0" borderId="21" xfId="0" applyFont="1" applyBorder="1" applyAlignment="1">
      <alignment vertical="center" wrapText="1"/>
    </xf>
    <xf numFmtId="0" fontId="3" fillId="14" borderId="1" xfId="0" applyFont="1" applyFill="1" applyBorder="1" applyAlignment="1">
      <alignment horizontal="center" vertical="center"/>
    </xf>
    <xf numFmtId="0" fontId="7" fillId="0" borderId="1" xfId="10" applyFont="1" applyBorder="1" applyAlignment="1">
      <alignment horizontal="center" vertical="center" wrapText="1"/>
    </xf>
    <xf numFmtId="0" fontId="7" fillId="0" borderId="1" xfId="10" applyFont="1" applyBorder="1" applyAlignment="1">
      <alignment horizontal="left" vertical="center" wrapText="1"/>
    </xf>
    <xf numFmtId="0" fontId="37" fillId="14" borderId="1" xfId="0" applyFont="1" applyFill="1" applyBorder="1" applyAlignment="1">
      <alignment horizontal="left" vertical="top" wrapText="1"/>
    </xf>
    <xf numFmtId="0" fontId="47" fillId="14" borderId="1" xfId="0" applyFont="1" applyFill="1" applyBorder="1" applyAlignment="1">
      <alignment horizontal="left" vertical="top"/>
    </xf>
    <xf numFmtId="0" fontId="0" fillId="14" borderId="1" xfId="0" applyFill="1" applyBorder="1" applyAlignment="1">
      <alignment horizontal="left" vertical="top"/>
    </xf>
    <xf numFmtId="0" fontId="7" fillId="14" borderId="1" xfId="10" applyFont="1" applyFill="1" applyBorder="1" applyAlignment="1">
      <alignment vertical="center" wrapText="1"/>
    </xf>
    <xf numFmtId="0" fontId="7" fillId="0" borderId="1" xfId="10" applyFont="1" applyBorder="1" applyAlignment="1">
      <alignment vertical="center"/>
    </xf>
    <xf numFmtId="0" fontId="38" fillId="10" borderId="2" xfId="10" applyFont="1" applyFill="1" applyBorder="1" applyAlignment="1">
      <alignment horizontal="center" vertical="center" wrapText="1"/>
    </xf>
    <xf numFmtId="0" fontId="40" fillId="0" borderId="1" xfId="10" applyFont="1" applyBorder="1" applyAlignment="1">
      <alignment horizontal="center" vertical="center"/>
    </xf>
    <xf numFmtId="0" fontId="36" fillId="0" borderId="0" xfId="10" applyAlignment="1">
      <alignment horizontal="center" vertical="center"/>
    </xf>
    <xf numFmtId="0" fontId="7" fillId="14" borderId="1" xfId="10" applyFont="1" applyFill="1" applyBorder="1" applyAlignment="1">
      <alignment horizontal="center" vertical="center" wrapText="1"/>
    </xf>
    <xf numFmtId="0" fontId="7" fillId="14" borderId="1" xfId="10" applyFont="1" applyFill="1" applyBorder="1" applyAlignment="1">
      <alignment horizontal="center" vertical="center"/>
    </xf>
    <xf numFmtId="0" fontId="36" fillId="0" borderId="1" xfId="10" applyBorder="1" applyAlignment="1">
      <alignment horizontal="center" vertical="center"/>
    </xf>
    <xf numFmtId="0" fontId="46" fillId="0" borderId="1" xfId="3" applyFont="1" applyBorder="1" applyAlignment="1" applyProtection="1">
      <alignment horizontal="center" vertical="center" wrapText="1"/>
    </xf>
    <xf numFmtId="167" fontId="7" fillId="14" borderId="1" xfId="10" applyNumberFormat="1" applyFont="1" applyFill="1" applyBorder="1" applyAlignment="1">
      <alignment horizontal="center" vertical="center"/>
    </xf>
    <xf numFmtId="0" fontId="7" fillId="0" borderId="0" xfId="0" applyFont="1" applyAlignment="1">
      <alignment horizontal="center" vertical="center"/>
    </xf>
    <xf numFmtId="0" fontId="8" fillId="0" borderId="22" xfId="3" applyBorder="1" applyAlignment="1" applyProtection="1">
      <alignment vertical="center" wrapText="1"/>
    </xf>
    <xf numFmtId="0" fontId="71" fillId="14" borderId="20" xfId="3" applyFont="1" applyFill="1" applyBorder="1" applyAlignment="1" applyProtection="1">
      <alignment vertical="center" wrapText="1"/>
    </xf>
    <xf numFmtId="0" fontId="41" fillId="14" borderId="1" xfId="0" applyFont="1" applyFill="1" applyBorder="1" applyAlignment="1">
      <alignment horizontal="left" vertical="top" wrapText="1"/>
    </xf>
    <xf numFmtId="0" fontId="60" fillId="14" borderId="1" xfId="3" applyFont="1" applyFill="1" applyBorder="1" applyAlignment="1" applyProtection="1">
      <alignment vertical="top" wrapText="1"/>
    </xf>
    <xf numFmtId="0" fontId="37" fillId="14" borderId="1" xfId="0" applyFont="1" applyFill="1" applyBorder="1" applyAlignment="1">
      <alignment vertical="top" wrapText="1"/>
    </xf>
    <xf numFmtId="0" fontId="8" fillId="14" borderId="1" xfId="3" applyFill="1" applyBorder="1" applyAlignment="1" applyProtection="1">
      <alignment horizontal="left" vertical="top" wrapText="1"/>
    </xf>
    <xf numFmtId="0" fontId="56" fillId="14" borderId="1" xfId="0" applyFont="1" applyFill="1" applyBorder="1" applyAlignment="1">
      <alignment horizontal="left" vertical="top" wrapText="1"/>
    </xf>
    <xf numFmtId="0" fontId="37" fillId="14" borderId="1" xfId="0" applyFont="1" applyFill="1" applyBorder="1" applyAlignment="1">
      <alignment horizontal="center" vertical="center" wrapText="1"/>
    </xf>
    <xf numFmtId="0" fontId="46" fillId="14" borderId="1" xfId="3" applyFont="1" applyFill="1" applyBorder="1" applyAlignment="1" applyProtection="1">
      <alignment vertical="center" wrapText="1"/>
    </xf>
    <xf numFmtId="0" fontId="41" fillId="14" borderId="1" xfId="0" applyFont="1" applyFill="1" applyBorder="1" applyAlignment="1">
      <alignment vertical="top" wrapText="1"/>
    </xf>
    <xf numFmtId="0" fontId="7" fillId="14" borderId="1" xfId="10" applyFont="1" applyFill="1" applyBorder="1" applyAlignment="1">
      <alignment horizontal="left" vertical="center" wrapText="1"/>
    </xf>
    <xf numFmtId="0" fontId="41" fillId="14" borderId="1" xfId="10" applyFont="1" applyFill="1" applyBorder="1" applyAlignment="1">
      <alignment vertical="top" wrapText="1"/>
    </xf>
    <xf numFmtId="0" fontId="37" fillId="14" borderId="1" xfId="10" applyFont="1" applyFill="1" applyBorder="1" applyAlignment="1">
      <alignment vertical="top" wrapText="1"/>
    </xf>
    <xf numFmtId="0" fontId="47" fillId="14" borderId="1" xfId="0" applyFont="1" applyFill="1" applyBorder="1" applyAlignment="1">
      <alignment vertical="top"/>
    </xf>
    <xf numFmtId="0" fontId="7" fillId="14" borderId="1" xfId="10" applyFont="1" applyFill="1" applyBorder="1" applyAlignment="1">
      <alignment wrapText="1"/>
    </xf>
    <xf numFmtId="0" fontId="47" fillId="14" borderId="1" xfId="0" applyFont="1" applyFill="1" applyBorder="1" applyAlignment="1">
      <alignment vertical="top" wrapText="1"/>
    </xf>
    <xf numFmtId="0" fontId="41" fillId="14" borderId="1" xfId="10" applyFont="1" applyFill="1" applyBorder="1" applyAlignment="1">
      <alignment horizontal="left" vertical="top" wrapText="1"/>
    </xf>
    <xf numFmtId="0" fontId="0" fillId="0" borderId="8" xfId="0" applyBorder="1" applyAlignment="1">
      <alignment vertical="top" wrapText="1"/>
    </xf>
    <xf numFmtId="0" fontId="0" fillId="0" borderId="9" xfId="0" applyBorder="1" applyAlignment="1">
      <alignment vertical="top" wrapText="1"/>
    </xf>
    <xf numFmtId="0" fontId="0" fillId="0" borderId="7" xfId="0" applyBorder="1" applyAlignment="1">
      <alignment vertical="top" wrapText="1"/>
    </xf>
    <xf numFmtId="0" fontId="0" fillId="0" borderId="9" xfId="0" applyBorder="1" applyAlignment="1">
      <alignment vertical="top"/>
    </xf>
    <xf numFmtId="0" fontId="0" fillId="0" borderId="7" xfId="0" applyBorder="1" applyAlignment="1">
      <alignment vertical="top"/>
    </xf>
    <xf numFmtId="0" fontId="11" fillId="5" borderId="5" xfId="0" applyFont="1" applyFill="1" applyBorder="1" applyAlignment="1">
      <alignment horizontal="left" vertical="center"/>
    </xf>
    <xf numFmtId="0" fontId="0" fillId="5" borderId="4" xfId="0" applyFill="1" applyBorder="1" applyAlignment="1">
      <alignment horizontal="left" vertical="center"/>
    </xf>
    <xf numFmtId="0" fontId="11" fillId="5" borderId="5" xfId="0" applyFont="1" applyFill="1" applyBorder="1" applyAlignment="1">
      <alignment horizontal="left" vertical="center" wrapText="1"/>
    </xf>
    <xf numFmtId="0" fontId="0" fillId="5" borderId="0" xfId="0" applyFill="1" applyAlignment="1">
      <alignment horizontal="left" vertical="center"/>
    </xf>
    <xf numFmtId="0" fontId="13" fillId="7" borderId="1" xfId="0" applyFont="1" applyFill="1" applyBorder="1" applyAlignment="1"/>
    <xf numFmtId="0" fontId="14" fillId="7" borderId="1" xfId="0" applyFont="1" applyFill="1" applyBorder="1" applyAlignment="1"/>
    <xf numFmtId="0" fontId="11" fillId="5" borderId="0" xfId="0" applyFont="1" applyFill="1" applyAlignment="1">
      <alignment horizontal="left" vertical="center"/>
    </xf>
    <xf numFmtId="0" fontId="13" fillId="7" borderId="2" xfId="0" applyFont="1" applyFill="1" applyBorder="1" applyAlignment="1"/>
    <xf numFmtId="0" fontId="14" fillId="7" borderId="2" xfId="0" applyFont="1" applyFill="1" applyBorder="1" applyAlignment="1"/>
    <xf numFmtId="0" fontId="0" fillId="0" borderId="1" xfId="0" applyBorder="1" applyAlignment="1">
      <alignment vertical="top" wrapText="1"/>
    </xf>
    <xf numFmtId="0" fontId="33" fillId="2" borderId="1" xfId="0" applyFont="1" applyFill="1" applyBorder="1" applyAlignment="1">
      <alignment horizontal="center" vertical="center"/>
    </xf>
    <xf numFmtId="0" fontId="33" fillId="9" borderId="1" xfId="0" applyFont="1" applyFill="1" applyBorder="1" applyAlignment="1">
      <alignment horizontal="center" vertical="center" wrapText="1"/>
    </xf>
    <xf numFmtId="0" fontId="33" fillId="9" borderId="1" xfId="0" applyFont="1" applyFill="1" applyBorder="1" applyAlignment="1">
      <alignment horizontal="center" vertical="center"/>
    </xf>
    <xf numFmtId="0" fontId="2" fillId="2" borderId="1" xfId="0" applyFont="1" applyFill="1" applyBorder="1" applyAlignment="1">
      <alignment horizontal="center"/>
    </xf>
    <xf numFmtId="0" fontId="2" fillId="9" borderId="1" xfId="0" applyFont="1" applyFill="1" applyBorder="1" applyAlignment="1">
      <alignment horizontal="center" vertical="center" wrapText="1"/>
    </xf>
    <xf numFmtId="0" fontId="17" fillId="0" borderId="2"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6" xfId="0" applyFont="1" applyBorder="1" applyAlignment="1">
      <alignment horizontal="center" vertical="center" wrapText="1"/>
    </xf>
    <xf numFmtId="0" fontId="17" fillId="4" borderId="2" xfId="3" applyFont="1" applyFill="1" applyBorder="1" applyAlignment="1" applyProtection="1">
      <alignment horizontal="center" vertical="center" wrapText="1"/>
    </xf>
    <xf numFmtId="0" fontId="17" fillId="4" borderId="3" xfId="3" applyFont="1" applyFill="1" applyBorder="1" applyAlignment="1" applyProtection="1">
      <alignment horizontal="center" vertical="center" wrapText="1"/>
    </xf>
    <xf numFmtId="0" fontId="17" fillId="4" borderId="6" xfId="3" applyFont="1" applyFill="1" applyBorder="1" applyAlignment="1" applyProtection="1">
      <alignment horizontal="center" vertical="center" wrapText="1"/>
    </xf>
    <xf numFmtId="0" fontId="17" fillId="4" borderId="1" xfId="3" applyFont="1" applyFill="1" applyBorder="1" applyAlignment="1" applyProtection="1">
      <alignment horizontal="center" vertical="center" wrapText="1"/>
    </xf>
    <xf numFmtId="16" fontId="17" fillId="0" borderId="1" xfId="1" quotePrefix="1" applyNumberFormat="1" applyFont="1" applyBorder="1" applyAlignment="1">
      <alignment horizontal="center" vertical="center" wrapText="1"/>
    </xf>
    <xf numFmtId="0" fontId="2" fillId="3" borderId="1"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17" fillId="0" borderId="12" xfId="0" applyFont="1" applyBorder="1" applyAlignment="1">
      <alignment horizontal="center" vertical="center" wrapText="1"/>
    </xf>
    <xf numFmtId="0" fontId="17" fillId="0" borderId="10" xfId="0" applyFont="1" applyBorder="1" applyAlignment="1">
      <alignment horizontal="center" vertical="center" wrapText="1"/>
    </xf>
    <xf numFmtId="0" fontId="17" fillId="0" borderId="1" xfId="0" applyFont="1" applyBorder="1" applyAlignment="1">
      <alignment horizontal="center" vertical="center" wrapText="1"/>
    </xf>
    <xf numFmtId="0" fontId="17" fillId="0" borderId="1" xfId="1" applyFont="1" applyBorder="1" applyAlignment="1">
      <alignment horizontal="left" vertical="center" wrapText="1"/>
    </xf>
    <xf numFmtId="0" fontId="17" fillId="0" borderId="2" xfId="2" applyFont="1" applyBorder="1" applyAlignment="1">
      <alignment horizontal="center" vertical="center" wrapText="1"/>
    </xf>
    <xf numFmtId="0" fontId="17" fillId="0" borderId="3" xfId="2" applyFont="1" applyBorder="1" applyAlignment="1">
      <alignment horizontal="center" vertical="center" wrapText="1"/>
    </xf>
    <xf numFmtId="0" fontId="17" fillId="0" borderId="6" xfId="2" applyFont="1" applyBorder="1" applyAlignment="1">
      <alignment horizontal="center" vertical="center" wrapText="1"/>
    </xf>
    <xf numFmtId="0" fontId="17" fillId="0" borderId="1" xfId="2" applyFont="1" applyBorder="1" applyAlignment="1">
      <alignment horizontal="left" vertical="center" wrapText="1"/>
    </xf>
    <xf numFmtId="0" fontId="17" fillId="4" borderId="1" xfId="0" applyFont="1" applyFill="1" applyBorder="1" applyAlignment="1">
      <alignment horizontal="center" vertical="center" wrapText="1"/>
    </xf>
    <xf numFmtId="0" fontId="14" fillId="0" borderId="1" xfId="0" applyFont="1" applyBorder="1" applyAlignment="1">
      <alignment horizontal="center" vertical="center" wrapText="1"/>
    </xf>
    <xf numFmtId="0" fontId="17" fillId="0" borderId="5" xfId="0" applyFont="1" applyBorder="1" applyAlignment="1">
      <alignment horizontal="center" vertical="center" wrapText="1"/>
    </xf>
    <xf numFmtId="0" fontId="17" fillId="4" borderId="2" xfId="0" applyFont="1" applyFill="1" applyBorder="1" applyAlignment="1">
      <alignment horizontal="center" vertical="center" wrapText="1"/>
    </xf>
    <xf numFmtId="0" fontId="17" fillId="4" borderId="3" xfId="0" applyFont="1" applyFill="1" applyBorder="1" applyAlignment="1">
      <alignment horizontal="center" vertical="center" wrapText="1"/>
    </xf>
    <xf numFmtId="0" fontId="17" fillId="4" borderId="6" xfId="0" applyFont="1" applyFill="1" applyBorder="1" applyAlignment="1">
      <alignment horizontal="center" vertical="center" wrapText="1"/>
    </xf>
    <xf numFmtId="0" fontId="5" fillId="4" borderId="2" xfId="0" applyFont="1" applyFill="1" applyBorder="1" applyAlignment="1">
      <alignment horizontal="center" vertical="center" wrapText="1"/>
    </xf>
    <xf numFmtId="0" fontId="5" fillId="4" borderId="3"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26" fillId="4" borderId="2" xfId="0" applyFont="1" applyFill="1" applyBorder="1" applyAlignment="1">
      <alignment horizontal="center" vertical="center" wrapText="1"/>
    </xf>
    <xf numFmtId="0" fontId="26" fillId="4" borderId="3" xfId="0" applyFont="1" applyFill="1" applyBorder="1" applyAlignment="1">
      <alignment horizontal="center" vertical="center" wrapText="1"/>
    </xf>
    <xf numFmtId="0" fontId="26" fillId="4" borderId="6" xfId="0" applyFont="1" applyFill="1" applyBorder="1" applyAlignment="1">
      <alignment horizontal="center" vertical="center" wrapText="1"/>
    </xf>
    <xf numFmtId="16" fontId="17" fillId="0" borderId="2" xfId="1" quotePrefix="1" applyNumberFormat="1" applyFont="1" applyBorder="1" applyAlignment="1">
      <alignment horizontal="center" vertical="center" wrapText="1"/>
    </xf>
    <xf numFmtId="16" fontId="17" fillId="0" borderId="3" xfId="1" quotePrefix="1" applyNumberFormat="1" applyFont="1" applyBorder="1" applyAlignment="1">
      <alignment horizontal="center" vertical="center" wrapText="1"/>
    </xf>
    <xf numFmtId="16" fontId="17" fillId="0" borderId="6" xfId="1" quotePrefix="1" applyNumberFormat="1" applyFont="1" applyBorder="1" applyAlignment="1">
      <alignment horizontal="center" vertical="center" wrapText="1"/>
    </xf>
    <xf numFmtId="0" fontId="17" fillId="0" borderId="2" xfId="1" applyFont="1" applyBorder="1" applyAlignment="1">
      <alignment horizontal="center" vertical="center" wrapText="1"/>
    </xf>
    <xf numFmtId="0" fontId="17" fillId="0" borderId="3" xfId="1" applyFont="1" applyBorder="1" applyAlignment="1">
      <alignment horizontal="center" vertical="center" wrapText="1"/>
    </xf>
    <xf numFmtId="0" fontId="17" fillId="0" borderId="6" xfId="1" applyFont="1" applyBorder="1" applyAlignment="1">
      <alignment horizontal="center" vertical="center" wrapText="1"/>
    </xf>
    <xf numFmtId="0" fontId="27" fillId="4" borderId="2" xfId="0" applyFont="1" applyFill="1" applyBorder="1" applyAlignment="1">
      <alignment horizontal="center" vertical="center" wrapText="1"/>
    </xf>
    <xf numFmtId="0" fontId="27" fillId="4" borderId="3" xfId="0" applyFont="1" applyFill="1" applyBorder="1" applyAlignment="1">
      <alignment horizontal="center" vertical="center" wrapText="1"/>
    </xf>
    <xf numFmtId="0" fontId="27" fillId="4" borderId="6"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6" fillId="8" borderId="6" xfId="0" applyFont="1" applyFill="1" applyBorder="1" applyAlignment="1">
      <alignment horizontal="center" vertical="center" wrapText="1"/>
    </xf>
    <xf numFmtId="0" fontId="5" fillId="8" borderId="2" xfId="0" applyFont="1" applyFill="1" applyBorder="1" applyAlignment="1">
      <alignment horizontal="left" vertical="top" wrapText="1"/>
    </xf>
    <xf numFmtId="0" fontId="5" fillId="8" borderId="6" xfId="0" applyFont="1" applyFill="1" applyBorder="1" applyAlignment="1">
      <alignment horizontal="left" vertical="top" wrapText="1"/>
    </xf>
    <xf numFmtId="0" fontId="38" fillId="10" borderId="8" xfId="10" applyFont="1" applyFill="1" applyBorder="1" applyAlignment="1">
      <alignment horizontal="center" vertical="top" wrapText="1"/>
    </xf>
    <xf numFmtId="0" fontId="38" fillId="10" borderId="9" xfId="10" applyFont="1" applyFill="1" applyBorder="1" applyAlignment="1">
      <alignment horizontal="center" vertical="top" wrapText="1"/>
    </xf>
    <xf numFmtId="0" fontId="38" fillId="10" borderId="7" xfId="10" applyFont="1" applyFill="1" applyBorder="1" applyAlignment="1">
      <alignment horizontal="center" vertical="top" wrapText="1"/>
    </xf>
    <xf numFmtId="0" fontId="69" fillId="14" borderId="0" xfId="0" applyFont="1" applyFill="1" applyAlignment="1">
      <alignment horizontal="center" vertical="center" wrapText="1"/>
    </xf>
    <xf numFmtId="0" fontId="0" fillId="14" borderId="0" xfId="0" applyFill="1" applyAlignment="1">
      <alignment horizontal="center" vertical="center"/>
    </xf>
    <xf numFmtId="0" fontId="10" fillId="17" borderId="12" xfId="0" applyFont="1" applyFill="1" applyBorder="1" applyAlignment="1">
      <alignment horizontal="center" vertical="center" wrapText="1"/>
    </xf>
    <xf numFmtId="0" fontId="10" fillId="17" borderId="17" xfId="0" applyFont="1" applyFill="1" applyBorder="1" applyAlignment="1">
      <alignment horizontal="center" vertical="center" wrapText="1"/>
    </xf>
    <xf numFmtId="0" fontId="39" fillId="10" borderId="8" xfId="10" applyFont="1" applyFill="1" applyBorder="1" applyAlignment="1">
      <alignment horizontal="center" vertical="center" wrapText="1"/>
    </xf>
    <xf numFmtId="0" fontId="39" fillId="10" borderId="9" xfId="10" applyFont="1" applyFill="1" applyBorder="1" applyAlignment="1">
      <alignment horizontal="center" vertical="center" wrapText="1"/>
    </xf>
    <xf numFmtId="0" fontId="39" fillId="10" borderId="17" xfId="10" applyFont="1" applyFill="1" applyBorder="1" applyAlignment="1">
      <alignment horizontal="center" vertical="center" wrapText="1"/>
    </xf>
    <xf numFmtId="0" fontId="39" fillId="10" borderId="18" xfId="10" applyFont="1" applyFill="1" applyBorder="1" applyAlignment="1">
      <alignment horizontal="center" vertical="center" wrapText="1"/>
    </xf>
    <xf numFmtId="0" fontId="39" fillId="10" borderId="8" xfId="0" applyFont="1" applyFill="1" applyBorder="1" applyAlignment="1">
      <alignment horizontal="center" wrapText="1"/>
    </xf>
    <xf numFmtId="0" fontId="39" fillId="10" borderId="9" xfId="0" applyFont="1" applyFill="1" applyBorder="1" applyAlignment="1">
      <alignment horizontal="center" wrapText="1"/>
    </xf>
    <xf numFmtId="0" fontId="39" fillId="10" borderId="9" xfId="0" applyFont="1" applyFill="1" applyBorder="1" applyAlignment="1">
      <alignment horizontal="center" vertical="center" wrapText="1"/>
    </xf>
    <xf numFmtId="0" fontId="39" fillId="10" borderId="8" xfId="10" applyFont="1" applyFill="1" applyBorder="1" applyAlignment="1">
      <alignment horizontal="center" vertical="top" wrapText="1"/>
    </xf>
    <xf numFmtId="0" fontId="39" fillId="10" borderId="9" xfId="10" applyFont="1" applyFill="1" applyBorder="1" applyAlignment="1">
      <alignment horizontal="center" vertical="top" wrapText="1"/>
    </xf>
    <xf numFmtId="0" fontId="39" fillId="10" borderId="7" xfId="10" applyFont="1" applyFill="1" applyBorder="1" applyAlignment="1">
      <alignment horizontal="center" vertical="top" wrapText="1"/>
    </xf>
    <xf numFmtId="0" fontId="38" fillId="10" borderId="8" xfId="0" applyFont="1" applyFill="1" applyBorder="1" applyAlignment="1">
      <alignment horizontal="center" vertical="center" wrapText="1"/>
    </xf>
    <xf numFmtId="0" fontId="38" fillId="10" borderId="9" xfId="0" applyFont="1" applyFill="1" applyBorder="1" applyAlignment="1">
      <alignment horizontal="center" vertical="top" wrapText="1"/>
    </xf>
    <xf numFmtId="0" fontId="38" fillId="10" borderId="7" xfId="0" applyFont="1" applyFill="1" applyBorder="1" applyAlignment="1">
      <alignment horizontal="center" vertical="top" wrapText="1"/>
    </xf>
    <xf numFmtId="0" fontId="38" fillId="10" borderId="8" xfId="10" applyFont="1" applyFill="1" applyBorder="1" applyAlignment="1">
      <alignment horizontal="center" vertical="center" wrapText="1"/>
    </xf>
    <xf numFmtId="0" fontId="38" fillId="10" borderId="9" xfId="10" applyFont="1" applyFill="1" applyBorder="1" applyAlignment="1">
      <alignment horizontal="center" vertical="center" wrapText="1"/>
    </xf>
    <xf numFmtId="0" fontId="38" fillId="10" borderId="0" xfId="13" applyFont="1" applyFill="1" applyAlignment="1">
      <alignment horizontal="center" vertical="top" wrapText="1"/>
    </xf>
    <xf numFmtId="0" fontId="38" fillId="10" borderId="4" xfId="13" applyFont="1" applyFill="1" applyBorder="1" applyAlignment="1">
      <alignment horizontal="center" vertical="top" wrapText="1"/>
    </xf>
    <xf numFmtId="0" fontId="38" fillId="10" borderId="11" xfId="13" applyFont="1" applyFill="1" applyBorder="1" applyAlignment="1">
      <alignment horizontal="center" vertical="top" wrapText="1"/>
    </xf>
    <xf numFmtId="0" fontId="38" fillId="10" borderId="13" xfId="13" applyFont="1" applyFill="1" applyBorder="1" applyAlignment="1">
      <alignment horizontal="center" vertical="top" wrapText="1"/>
    </xf>
    <xf numFmtId="0" fontId="38" fillId="10" borderId="8" xfId="13" applyFont="1" applyFill="1" applyBorder="1" applyAlignment="1">
      <alignment horizontal="center" vertical="top" wrapText="1"/>
    </xf>
    <xf numFmtId="0" fontId="38" fillId="10" borderId="9" xfId="13" applyFont="1" applyFill="1" applyBorder="1" applyAlignment="1">
      <alignment horizontal="center" vertical="top" wrapText="1"/>
    </xf>
    <xf numFmtId="0" fontId="58" fillId="0" borderId="2" xfId="13" applyFont="1" applyBorder="1" applyAlignment="1">
      <alignment horizontal="center" vertical="center" wrapText="1"/>
    </xf>
    <xf numFmtId="0" fontId="58" fillId="0" borderId="3" xfId="13" applyFont="1" applyBorder="1" applyAlignment="1">
      <alignment horizontal="center" vertical="center" wrapText="1"/>
    </xf>
    <xf numFmtId="0" fontId="58" fillId="0" borderId="6" xfId="13" applyFont="1" applyBorder="1" applyAlignment="1">
      <alignment horizontal="center" vertical="center" wrapText="1"/>
    </xf>
  </cellXfs>
  <cellStyles count="15">
    <cellStyle name="entry" xfId="5" xr:uid="{00000000-0005-0000-0000-000000000000}"/>
    <cellStyle name="Excel Built-in Currency" xfId="6" xr:uid="{00000000-0005-0000-0000-000001000000}"/>
    <cellStyle name="Excel Built-in Hyperlink" xfId="7" xr:uid="{00000000-0005-0000-0000-000002000000}"/>
    <cellStyle name="Excel Built-in Normal" xfId="2" xr:uid="{00000000-0005-0000-0000-000003000000}"/>
    <cellStyle name="Hyperlink" xfId="3" builtinId="8"/>
    <cellStyle name="Hyperlink 2" xfId="11" xr:uid="{4D1B91F9-5AC1-47C2-8A0B-A612493668B6}"/>
    <cellStyle name="Hyperlink 3" xfId="12" xr:uid="{34C3BFF5-FFC2-48FD-93D1-65D2D205C933}"/>
    <cellStyle name="Normal" xfId="0" builtinId="0"/>
    <cellStyle name="Normal 2" xfId="10" xr:uid="{CF7793A6-9ADC-43A2-83CE-54CD7B7C1126}"/>
    <cellStyle name="Normal 3" xfId="13" xr:uid="{EFAF433A-9558-4A53-B8C1-0AE0001BF7C7}"/>
    <cellStyle name="Normal2" xfId="8" xr:uid="{00000000-0005-0000-0000-000006000000}"/>
    <cellStyle name="sect1" xfId="9" xr:uid="{00000000-0005-0000-0000-000007000000}"/>
    <cellStyle name="Standard 2" xfId="1" xr:uid="{00000000-0005-0000-0000-000008000000}"/>
    <cellStyle name="Standard 3" xfId="4" xr:uid="{00000000-0005-0000-0000-000009000000}"/>
    <cellStyle name="標準 2" xfId="14" xr:uid="{C0631671-B27D-44FF-933F-E939C2761B18}"/>
  </cellStyles>
  <dxfs count="11">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xp1-my.sharepoint.com/Users/nxf02247/Downloads/BL%20AP%20SW%20Impact%20Analysis%20and%20Safety%20Case%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Info"/>
      <sheetName val="Document Info"/>
      <sheetName val="ISO 26262 Safety Case"/>
      <sheetName val="Sign Off Checklist"/>
      <sheetName val="Product Impact Analysis"/>
      <sheetName val="CIB_Deliverables"/>
      <sheetName val="Components"/>
      <sheetName val="CIB_Deliverables (Example)"/>
      <sheetName val="Components (Example)"/>
      <sheetName val="Work Instructions"/>
      <sheetName val="Abbreviation"/>
      <sheetName val="Sheet1"/>
    </sheetNames>
    <sheetDataSet>
      <sheetData sheetId="0"/>
      <sheetData sheetId="1"/>
      <sheetData sheetId="2"/>
      <sheetData sheetId="3"/>
      <sheetData sheetId="4"/>
      <sheetData sheetId="5">
        <row r="10">
          <cell r="B10" t="str">
            <v>SW Safety Concept</v>
          </cell>
        </row>
        <row r="11">
          <cell r="B11" t="str">
            <v>SW Safety Plan (incl. ISO26262 tailoring)</v>
          </cell>
        </row>
        <row r="12">
          <cell r="B12" t="str">
            <v xml:space="preserve">SW DIA
</v>
          </cell>
        </row>
        <row r="13">
          <cell r="B13" t="str">
            <v>SW Safety Case</v>
          </cell>
        </row>
        <row r="14">
          <cell r="B14" t="str">
            <v>SW Safety Assessment Plan</v>
          </cell>
        </row>
        <row r="15">
          <cell r="B15" t="str">
            <v>SW Tool Criteria Evaluation &amp; Qualification Report</v>
          </cell>
        </row>
        <row r="16">
          <cell r="B16" t="str">
            <v>SW Safety Manual</v>
          </cell>
        </row>
        <row r="17">
          <cell r="B17" t="str">
            <v>SW Safety Analysis (eg SW FMEA) for  Explicit safety projects. Note that for Implicit safety, the FMEA is required at EAR in A version; no initial version.</v>
          </cell>
        </row>
        <row r="18">
          <cell r="B18" t="str">
            <v>SW Requirements Specifications (RS) at all SW levels: high level and detailed RS  (including security scope)</v>
          </cell>
        </row>
        <row r="19">
          <cell r="B19" t="str">
            <v>SW Architectural Specification (including safety concept; software security concept) (AS)</v>
          </cell>
        </row>
        <row r="20">
          <cell r="B20" t="str">
            <v>SW Statement of Work (Customer-Supplier) (incl. ISO26262 DIA - Development Interface Agreement) (incl. list of requirements) - if applicable</v>
          </cell>
        </row>
        <row r="21">
          <cell r="B21" t="str">
            <v>SW Detailed Design  (including security scope)</v>
          </cell>
        </row>
        <row r="22">
          <cell r="B22" t="str">
            <v>SW Project Management Plan 
Note: Included in Safety Plan for safety products.</v>
          </cell>
        </row>
        <row r="23">
          <cell r="B23" t="str">
            <v>SW Project (Time) Schedule / Project Development Plan</v>
          </cell>
        </row>
        <row r="24">
          <cell r="B24" t="str">
            <v>SW Risk Assessment - Risk Register</v>
          </cell>
        </row>
        <row r="25">
          <cell r="B25" t="str">
            <v>Design Failure Mode and Effect Analysis (DFMEA)
(non-safety related). 
To be deployed to new products started beginning of Q2 2018. The rest of the products ca transition over time, if the stage is not very late/architecture frozen long time ago.
Safety projects can combine it with Safety Analysis.</v>
          </cell>
        </row>
        <row r="26">
          <cell r="B26" t="str">
            <v>SW Traceability Matrix (Requirements - Tests mapping). Note: for PCA, PDA, PPA traceability matrix will be the actual SRS</v>
          </cell>
        </row>
        <row r="27">
          <cell r="B27" t="str">
            <v>SW Traceability Matrix (full: Req-design-code-tests)</v>
          </cell>
        </row>
        <row r="28">
          <cell r="B28" t="str">
            <v>SW Test Plan (Test Strategy)</v>
          </cell>
        </row>
        <row r="29">
          <cell r="B29" t="str">
            <v>SW Test Specification (at all test levels)</v>
          </cell>
        </row>
        <row r="30">
          <cell r="B30" t="str">
            <v>SW Test Reports</v>
          </cell>
        </row>
        <row r="31">
          <cell r="B31" t="str">
            <v>System Test Results (eg S32 SDK S32K144 System Test Results: integration of RTOS, Middleware, LLD ..etc) - if applicable</v>
          </cell>
        </row>
        <row r="32">
          <cell r="B32" t="str">
            <v>Source code / binaries</v>
          </cell>
        </row>
        <row r="33">
          <cell r="B33" t="str">
            <v>SW Lessons Learned (inc. Metrics results)
Note: green with actions and verify at next gate/MM; if not done for previous MM, it is red for the current MM.</v>
          </cell>
        </row>
        <row r="34">
          <cell r="B34" t="str">
            <v>User Manual</v>
          </cell>
        </row>
        <row r="35">
          <cell r="B35" t="str">
            <v>Reference Manual (if applicable)</v>
          </cell>
        </row>
        <row r="36">
          <cell r="B36" t="str">
            <v>Application Note (if applicable)</v>
          </cell>
        </row>
        <row r="37">
          <cell r="B37" t="str">
            <v>Integration Manual (if applicable)</v>
          </cell>
        </row>
        <row r="38">
          <cell r="B38" t="str">
            <v>Release Note</v>
          </cell>
        </row>
        <row r="39">
          <cell r="B39" t="str">
            <v>SW Export Control Classification (including checklist)</v>
          </cell>
        </row>
        <row r="40">
          <cell r="B40" t="str">
            <v>OSS Compliance report plus/or Software Content Registers
Note: 
At PDA: either SCR (open source/3rd party SW) or default approval in case of proprietary SW
At Releases: either SCR or Black Duck Report</v>
          </cell>
        </row>
        <row r="41">
          <cell r="B41" t="str">
            <v>Release Readiness Report (inc. check of acceptance criteria) - included in this document</v>
          </cell>
        </row>
        <row r="42">
          <cell r="B42" t="str">
            <v>Certification - if applicable (User Manual, Reference Manual, Application Note, Release Note)</v>
          </cell>
        </row>
        <row r="43">
          <cell r="B43" t="str">
            <v>SW Project Estimates (WBS)</v>
          </cell>
        </row>
        <row r="44">
          <cell r="B44" t="str">
            <v>SW Configuration Management Plan</v>
          </cell>
        </row>
        <row r="45">
          <cell r="B45" t="str">
            <v>Configuration Items Plan and Report</v>
          </cell>
        </row>
        <row r="46">
          <cell r="B46" t="str">
            <v>SW Quality Assurance Plan</v>
          </cell>
        </row>
        <row r="47">
          <cell r="B47" t="str">
            <v>Static Analysis - MISRA Reports</v>
          </cell>
        </row>
        <row r="48">
          <cell r="B48" t="str">
            <v>SW Code Coverage Report</v>
          </cell>
        </row>
        <row r="49">
          <cell r="B49" t="str">
            <v>Requirements Management Plan (including security scope) (e.g. procedure is OK) (RMP)</v>
          </cell>
        </row>
        <row r="50">
          <cell r="B50" t="str">
            <v xml:space="preserve">SW BCaM7 Compliance Report and Gate/Milestone Result notification and recommendation (incl. waiver overview and clean gate report,  Action and Decision Log (A&amp;D) and AMC); (email communication to Project Board. In case of major issues, when a meeting is triggered, "example presentation" is used)
</v>
          </cell>
        </row>
        <row r="51">
          <cell r="B51" t="str">
            <v>SW Product Brief</v>
          </cell>
        </row>
        <row r="52">
          <cell r="B52" t="str">
            <v>SW ISO26262 Confirmation Reviews</v>
          </cell>
        </row>
        <row r="53">
          <cell r="B53" t="str">
            <v>SW Functional Safety Audit Report (TUV SGS BU Auto Certification) - not required for the current gate but as per the AMP SW Audit Plan.</v>
          </cell>
        </row>
        <row r="54">
          <cell r="B54" t="str">
            <v>SW Functional Safety Assessment Report -  not required for the current gate but as per the AMP SW Audit Plan.</v>
          </cell>
        </row>
        <row r="55">
          <cell r="B55" t="str">
            <v>Impact Analysis</v>
          </cell>
        </row>
        <row r="56">
          <cell r="B56" t="str">
            <v>Safety Features Impacted report</v>
          </cell>
        </row>
        <row r="57">
          <cell r="B57" t="str">
            <v>Test Code Package</v>
          </cell>
        </row>
        <row r="58">
          <cell r="B58" t="str">
            <v>Static Analysis - HIS Metrics report</v>
          </cell>
        </row>
        <row r="59">
          <cell r="B59" t="str">
            <v>Profiling and Size Reports</v>
          </cell>
        </row>
        <row r="60">
          <cell r="B60" t="str">
            <v>Code Size and Stack Usage Report (if applicable)</v>
          </cell>
        </row>
        <row r="61">
          <cell r="B61" t="str">
            <v xml:space="preserve">RAM Size Report </v>
          </cell>
        </row>
        <row r="62">
          <cell r="B62" t="str">
            <v>Compiler Warning Report</v>
          </cell>
        </row>
        <row r="63">
          <cell r="B63" t="str">
            <v>Internal SOW</v>
          </cell>
        </row>
        <row r="64">
          <cell r="B64" t="str">
            <v>Jira Tickets linked to release version</v>
          </cell>
        </row>
        <row r="65">
          <cell r="B65" t="str">
            <v>Review records in bitbucket and Crucible</v>
          </cell>
        </row>
        <row r="66">
          <cell r="B66" t="str">
            <v>Security Review Report</v>
          </cell>
        </row>
        <row r="67">
          <cell r="B67" t="str">
            <v>Security Risk Assessment Report  (threat analysis)</v>
          </cell>
        </row>
        <row r="68">
          <cell r="B68" t="str">
            <v>Vulnerability Analysis Plan (verification @ PPA, validation @ CES/PRC)</v>
          </cell>
        </row>
        <row r="69">
          <cell r="B69" t="str">
            <v xml:space="preserve">Vulnerability Analysis Results (verification @TO/PRC, validation @RQ/RFP)
</v>
          </cell>
        </row>
        <row r="70">
          <cell r="B70" t="str">
            <v xml:space="preserve">ITSEF AVA Reports </v>
          </cell>
        </row>
        <row r="71">
          <cell r="B71" t="str">
            <v>ITSEF ETR Reports</v>
          </cell>
        </row>
        <row r="72">
          <cell r="B72" t="str">
            <v>Outsourcing Strategy/ Plan (incl. add supplier list, supplier reviews, supplier eval plans)</v>
          </cell>
        </row>
        <row r="73">
          <cell r="B73" t="str">
            <v>Certification Report</v>
          </cell>
        </row>
        <row r="74">
          <cell r="B74" t="str">
            <v>AP SW Process</v>
          </cell>
        </row>
        <row r="75">
          <cell r="B75" t="str">
            <v>Process document</v>
          </cell>
        </row>
        <row r="76">
          <cell r="B76" t="str">
            <v>AP SW Process</v>
          </cell>
        </row>
        <row r="77">
          <cell r="B77" t="str">
            <v>Project Coding Guideline</v>
          </cell>
        </row>
        <row r="78">
          <cell r="B78" t="str">
            <v>Project Design Guideline</v>
          </cell>
        </row>
        <row r="79">
          <cell r="B79" t="str">
            <v>Competence Matrix and Training Plan</v>
          </cell>
        </row>
        <row r="80">
          <cell r="B80" t="str">
            <v>ISO 9001 Certificate &amp; IATF 16949 Certificate</v>
          </cell>
        </row>
      </sheetData>
      <sheetData sheetId="6"/>
      <sheetData sheetId="7"/>
      <sheetData sheetId="8"/>
      <sheetData sheetId="9"/>
      <sheetData sheetId="10"/>
      <sheetData sheetId="11"/>
    </sheetDataSet>
  </externalBook>
</externalLink>
</file>

<file path=xl/persons/person.xml><?xml version="1.0" encoding="utf-8"?>
<personList xmlns="http://schemas.microsoft.com/office/spreadsheetml/2018/threadedcomments" xmlns:x="http://schemas.openxmlformats.org/spreadsheetml/2006/main">
  <person displayName="Eugenia Liliana Neacsa" id="{00EE6323-859E-43DE-85CE-1CA5FCD35351}" userId="S::eugenia.neacsa@nxp.com::ec2e0558-3eaa-4477-9fa4-2aaeb24db0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R8" dT="2020-10-14T10:23:22.97" personId="{00EE6323-859E-43DE-85CE-1CA5FCD35351}" id="{ED0729ED-D9AA-45BF-8B4B-41264209A604}">
    <text>Impact Analysis is required only for PCA. These columns are not updated for next gates, milestones.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nxp.com/about/technology-leadership/quality/quality-certifications:QUALITY_CER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hyperlink" Target="https://bitbucket.sw.nxp.com/projects/ARTD/repos/releases/browse/SW32K3_BMS_SDK_4.4_0.8.0_D2205" TargetMode="External"/><Relationship Id="rId18" Type="http://schemas.openxmlformats.org/officeDocument/2006/relationships/hyperlink" Target="https://bitbucket.sw.nxp.com/projects/ASPA/repos/real_time_drivers/browse/Generic/Quality%20Assurance/RTD_AASWS_Quality_Assurance_Plan.docx" TargetMode="External"/><Relationship Id="rId26" Type="http://schemas.openxmlformats.org/officeDocument/2006/relationships/hyperlink" Target="https://bitbucket.sw.nxp.com/projects/STRX/repos/rfe/browse/docs/Project_Management/RFE_SW_Project_Management_Plan_(Safety_Plan).docx" TargetMode="External"/><Relationship Id="rId39" Type="http://schemas.openxmlformats.org/officeDocument/2006/relationships/printerSettings" Target="../printerSettings/printerSettings6.bin"/><Relationship Id="rId21" Type="http://schemas.openxmlformats.org/officeDocument/2006/relationships/hyperlink" Target="https://nxp1.sharepoint.com/:w:/r/sites/AAGPISSWSolutions/Shared%20Documents/00_ProjectManagement/SOW/BMS%20SDK%200.8.0.docx?d=w3238af6502464be489fe2ab655655c7d&amp;csf=1&amp;web=1&amp;e=YmgDqX" TargetMode="External"/><Relationship Id="rId34" Type="http://schemas.openxmlformats.org/officeDocument/2006/relationships/hyperlink" Target="https://bitbucket.sw.nxp.com/projects/STRX/repos/rfe/browse/docs/Project_Management/RFE%20SW%20WBS.xlsx" TargetMode="External"/><Relationship Id="rId42" Type="http://schemas.microsoft.com/office/2017/10/relationships/threadedComment" Target="../threadedComments/threadedComment1.xml"/><Relationship Id="rId7" Type="http://schemas.openxmlformats.org/officeDocument/2006/relationships/hyperlink" Target="https://bitbucket.sw.nxp.com/projects/ARTD/repos/releases/browse/safety_manual/S32K344_extdevices/S32K3_BMS_SDK_CDD_4.4_0.8.0_Safety_Manual.pdf" TargetMode="External"/><Relationship Id="rId2" Type="http://schemas.openxmlformats.org/officeDocument/2006/relationships/hyperlink" Target="https://nxp1-my.sharepoint.com/:f:/s/ampswqualitygroup/ErmxSVfOkm9LqAUx76kSVK8Bycx0oXkJkCH9sbB8owfVAQ?e=YvjYhX" TargetMode="External"/><Relationship Id="rId16" Type="http://schemas.openxmlformats.org/officeDocument/2006/relationships/hyperlink" Target="https://bitbucket.sw.nxp.com/projects/ASPA/repos/real_time_drivers/browse/AA%20SW%20Solutions" TargetMode="External"/><Relationship Id="rId20" Type="http://schemas.openxmlformats.org/officeDocument/2006/relationships/hyperlink" Target="https://nxp1.sharepoint.com/:w:/r/sites/AAGPISSWSolutions/Shared%20Documents/00_ProjectManagement/SOW/BMS%20SDK%200.8.0.docx?d=w3238af6502464be489fe2ab655655c7d&amp;csf=1&amp;web=1&amp;e=YmgDqX" TargetMode="External"/><Relationship Id="rId29" Type="http://schemas.openxmlformats.org/officeDocument/2006/relationships/hyperlink" Target="https://nxp1-my.sharepoint.com/:f:/r/sites/ampsoftware/Shared%20Documents/AMP%20SW%20Process%20-%20BU%20BCaM7%20Process%20Adoption%20in%20AMP%20BL?csf=1&amp;e=R4sICw" TargetMode="External"/><Relationship Id="rId41" Type="http://schemas.openxmlformats.org/officeDocument/2006/relationships/comments" Target="../comments1.xml"/><Relationship Id="rId1" Type="http://schemas.openxmlformats.org/officeDocument/2006/relationships/hyperlink" Target="https://nxp1-my.sharepoint.com/:f:/r/sites/ampsoftware/Shared%20Documents/AMP%20SW%20Process%20-%20BU%20BCaM7%20Process%20Adoption%20in%20AMP%20BL?csf=1&amp;e=R4sICw" TargetMode="External"/><Relationship Id="rId6" Type="http://schemas.openxmlformats.org/officeDocument/2006/relationships/hyperlink" Target="https://bitbucket.sw.nxp.com/projects/ARTD/repos/releases/browse/safety_manual/S32K344_extdevices/S32K3_BMS_SDK_CDD_4.4_0.8.0_Safety_Manual.pdf" TargetMode="External"/><Relationship Id="rId11" Type="http://schemas.openxmlformats.org/officeDocument/2006/relationships/hyperlink" Target="https://bitbucket.sw.nxp.com/projects/ARTD/repos/releases/browse/SW32K3_BMS_SDK_4.4_0.8.0_D2205/SW32K3_BMS_SDK_4.4_0.8.0_D2205_Release_Notes.pdf" TargetMode="External"/><Relationship Id="rId24" Type="http://schemas.openxmlformats.org/officeDocument/2006/relationships/hyperlink" Target="https://bitbucket.sw.nxp.com/projects/STRX/repos/rfe/browse/docs/Functional_Safety/RFE_SW_Tool_Eval_Qualificaion.xlsx" TargetMode="External"/><Relationship Id="rId32" Type="http://schemas.openxmlformats.org/officeDocument/2006/relationships/hyperlink" Target="https://bitbucket.sw.nxp.com/projects/STRX/repos/rfe/browse/docs/Change_and_Configuration_Management/RFE_Configuration_Management_Plan.docx" TargetMode="External"/><Relationship Id="rId37" Type="http://schemas.openxmlformats.org/officeDocument/2006/relationships/hyperlink" Target="https://doorsng.nxp.com/rm/web" TargetMode="External"/><Relationship Id="rId40" Type="http://schemas.openxmlformats.org/officeDocument/2006/relationships/vmlDrawing" Target="../drawings/vmlDrawing1.vml"/><Relationship Id="rId5" Type="http://schemas.openxmlformats.org/officeDocument/2006/relationships/hyperlink" Target="https://nxp1.sharepoint.com/:x:/r/sites/ampswqualitygroup/Shared%20Documents/Audits/Audits%20%26%20Assessments/AP%20SW%20ISO26262%20Assessment%20Plan.xlsx?d=wf5133dddc7114594bc598c2a18c267cf&amp;csf=1&amp;web=1&amp;e=0iBRaq" TargetMode="External"/><Relationship Id="rId15" Type="http://schemas.openxmlformats.org/officeDocument/2006/relationships/hyperlink" Target="https://bitbucket.sw.nxp.com/projects/ASPA/repos/real_time_drivers/browse/AA%20SW%20Solutions" TargetMode="External"/><Relationship Id="rId23" Type="http://schemas.openxmlformats.org/officeDocument/2006/relationships/hyperlink" Target="https://bitbucket.sw.nxp.com/projects/STRX/repos/rfe/browse/docs/Functional_Safety/RFE_SW_Tool_Eval_Qualificaion.xlsx" TargetMode="External"/><Relationship Id="rId28" Type="http://schemas.openxmlformats.org/officeDocument/2006/relationships/hyperlink" Target="https://nxp1-my.sharepoint.com/:f:/r/sites/ampsoftware/Shared%20Documents/AMP%20SW%20Process%20-%20BU%20BCaM7%20Process%20Adoption%20in%20AMP%20BL?csf=1&amp;e=R4sICw" TargetMode="External"/><Relationship Id="rId36" Type="http://schemas.openxmlformats.org/officeDocument/2006/relationships/hyperlink" Target="https://bitbucket.sw.nxp.com/projects/STRX/repos/rfe/browse/docs/Requirements_Management/RFE_SW_Requirement_Specification.xlsx" TargetMode="External"/><Relationship Id="rId10" Type="http://schemas.openxmlformats.org/officeDocument/2006/relationships/hyperlink" Target="https://nxp1.sharepoint.com/:x:/r/sites/AAGPISSWSolutions/Shared%20Documents/00_ProjectManagement/AASW_Lessons_Learned.xlsx?d=w3d51ee5745f148cdb75f34a1ec876706&amp;csf=1&amp;web=1&amp;e=WKorOA" TargetMode="External"/><Relationship Id="rId19" Type="http://schemas.openxmlformats.org/officeDocument/2006/relationships/hyperlink" Target="https://bitbucket.sw.nxp.com/projects/ASPA/repos/real_time_drivers/browse/Generic/Quality%20Assurance/RTD_AASWS_Quality_Assurance_Plan.docx" TargetMode="External"/><Relationship Id="rId31" Type="http://schemas.openxmlformats.org/officeDocument/2006/relationships/hyperlink" Target="https://bitbucket.sw.nxp.com/projects/STRX/repos/rfe/browse/docs/Project_Management/RFE_SW_Project_Management_Plan_(Safety_Plan).docx" TargetMode="External"/><Relationship Id="rId4" Type="http://schemas.openxmlformats.org/officeDocument/2006/relationships/hyperlink" Target="https://nxp1.sharepoint.com/:x:/r/sites/ampswqualitygroup/Shared%20Documents/Audits/Audits%20%26%20Assessments/AP%20SW%20ISO26262%20Assessment%20Plan.xlsx?d=wf5133dddc7114594bc598c2a18c267cf&amp;csf=1&amp;web=1&amp;e=0iBRaq" TargetMode="External"/><Relationship Id="rId9" Type="http://schemas.openxmlformats.org/officeDocument/2006/relationships/hyperlink" Target="https://nxp1.sharepoint.com/:x:/r/sites/AAGPISSWSolutions/Shared%20Documents/00_ProjectManagement/AASW_Lessons_Learned.xlsx?d=w3d51ee5745f148cdb75f34a1ec876706&amp;csf=1&amp;web=1&amp;e=WKorOA" TargetMode="External"/><Relationship Id="rId14" Type="http://schemas.openxmlformats.org/officeDocument/2006/relationships/hyperlink" Target="https://bitbucket.sw.nxp.com/projects/ARTD/repos/releases/browse/SW32K3_BMS_SDK_4.4_0.8.0_D2205" TargetMode="External"/><Relationship Id="rId22" Type="http://schemas.openxmlformats.org/officeDocument/2006/relationships/hyperlink" Target="https://bitbucket.sw.nxp.com/projects/STRX/repos/rfe/browse/docs/Functional_Safety/RFE_SW_Tool_Eval_Qualificaion.xlsx" TargetMode="External"/><Relationship Id="rId27" Type="http://schemas.openxmlformats.org/officeDocument/2006/relationships/hyperlink" Target="https://nxp1.sharepoint.com/:p:/r/teams/206_16/Shared%20Documents/STRX/ProjectPlanning/SmartTRX-SW-Release_Plan.pptx?d=w66359171ff084fabb1998bd8103f9334&amp;csf=1&amp;web=1&amp;e=9aKmrX" TargetMode="External"/><Relationship Id="rId30" Type="http://schemas.openxmlformats.org/officeDocument/2006/relationships/hyperlink" Target="https://bitbucket.sw.nxp.com/projects/STRX/repos/rfe/browse/docs/Functional_Safety" TargetMode="External"/><Relationship Id="rId35" Type="http://schemas.openxmlformats.org/officeDocument/2006/relationships/hyperlink" Target="https://www.collabnet.nxp.com/sf/go/doc497618" TargetMode="External"/><Relationship Id="rId8" Type="http://schemas.openxmlformats.org/officeDocument/2006/relationships/hyperlink" Target="https://nxp1.sharepoint.com/:x:/r/sites/AAGPISSWSolutions/Shared%20Documents/00_ProjectManagement/Schedule/ExtDevicesSchedule.xlsx?d=w57eb3b35757b4958a9dda7871c000c29&amp;csf=1&amp;web=1&amp;e=IJ9E7b" TargetMode="External"/><Relationship Id="rId3" Type="http://schemas.openxmlformats.org/officeDocument/2006/relationships/hyperlink" Target="https://bitbucket.sw.nxp.com/projects/ASPA/repos/real_time_drivers/browse/AA%20SW%20Solutions/Safety%20Cases" TargetMode="External"/><Relationship Id="rId12" Type="http://schemas.openxmlformats.org/officeDocument/2006/relationships/hyperlink" Target="https://bitbucket.sw.nxp.com/projects/ARTD/repos/releases/browse/SW32K3_BMS_SDK_4.4_0.8.0_D2205/SW32K3_BMS_SDK_4.4_0.8.0_D2205_Release_Notes.pdf" TargetMode="External"/><Relationship Id="rId17" Type="http://schemas.openxmlformats.org/officeDocument/2006/relationships/hyperlink" Target="https://bitbucket.sw.nxp.com/projects/ASPA/repos/real_time_drivers/browse/AA%20SW%20Solutions/Safety%20Cases" TargetMode="External"/><Relationship Id="rId25" Type="http://schemas.openxmlformats.org/officeDocument/2006/relationships/hyperlink" Target="https://www.collabnet.nxp.com/sf/go/doc347376?nav=1&amp;pagenum=1&amp;pagesize=15" TargetMode="External"/><Relationship Id="rId33" Type="http://schemas.openxmlformats.org/officeDocument/2006/relationships/hyperlink" Target="https://doorsng.nxp.com/rm/web" TargetMode="External"/><Relationship Id="rId38" Type="http://schemas.openxmlformats.org/officeDocument/2006/relationships/hyperlink" Target="https://bitbucket.sw.nxp.com/projects/STRX/repos/rfe/browse/docs/Software_Architecture"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O48"/>
  <sheetViews>
    <sheetView showGridLines="0" topLeftCell="B1" zoomScale="70" zoomScaleNormal="70" workbookViewId="0">
      <pane xSplit="3" ySplit="7" topLeftCell="E35" activePane="bottomRight" state="frozen"/>
      <selection pane="topRight" activeCell="E1" sqref="E1"/>
      <selection pane="bottomLeft" activeCell="B8" sqref="B8"/>
      <selection pane="bottomRight" activeCell="E39" sqref="E39:I39"/>
    </sheetView>
  </sheetViews>
  <sheetFormatPr defaultRowHeight="14.5" x14ac:dyDescent="0.35"/>
  <cols>
    <col min="1" max="1" width="3.453125" customWidth="1"/>
    <col min="2" max="2" width="45.453125" customWidth="1"/>
    <col min="3" max="3" width="7.90625" customWidth="1"/>
    <col min="4" max="4" width="21.36328125" customWidth="1"/>
    <col min="5" max="6" width="7.90625" customWidth="1"/>
    <col min="7" max="7" width="29.90625" customWidth="1"/>
    <col min="9" max="9" width="20" customWidth="1"/>
    <col min="10" max="10" width="35.453125" customWidth="1"/>
    <col min="11" max="11" width="17.6328125" customWidth="1"/>
    <col min="12" max="12" width="17.36328125" customWidth="1"/>
  </cols>
  <sheetData>
    <row r="2" spans="1:15" ht="87.75" customHeight="1" x14ac:dyDescent="0.35">
      <c r="C2" s="449" t="s">
        <v>0</v>
      </c>
      <c r="D2" s="450"/>
      <c r="E2" s="451" t="s">
        <v>1</v>
      </c>
      <c r="F2" s="452"/>
      <c r="G2" s="452"/>
      <c r="H2" s="452"/>
      <c r="I2" s="452"/>
      <c r="J2" s="452"/>
      <c r="K2" s="3"/>
      <c r="L2" s="3"/>
      <c r="M2" s="3"/>
      <c r="N2" s="3"/>
      <c r="O2" s="3"/>
    </row>
    <row r="3" spans="1:15" ht="23.5" x14ac:dyDescent="0.35">
      <c r="C3" s="3"/>
      <c r="D3" s="5"/>
    </row>
    <row r="4" spans="1:15" ht="18" customHeight="1" x14ac:dyDescent="0.35"/>
    <row r="5" spans="1:15" ht="18.5" x14ac:dyDescent="0.45">
      <c r="A5" s="6"/>
      <c r="B5" s="7" t="s">
        <v>2</v>
      </c>
      <c r="C5" s="6"/>
      <c r="D5" s="6"/>
      <c r="E5" s="6"/>
      <c r="F5" s="6"/>
      <c r="G5" s="6"/>
      <c r="H5" s="6"/>
      <c r="I5" s="6"/>
      <c r="J5" s="6"/>
      <c r="K5" s="6"/>
      <c r="L5" s="6"/>
    </row>
    <row r="6" spans="1:15" ht="5.25" customHeight="1" x14ac:dyDescent="0.35"/>
    <row r="7" spans="1:15" ht="15.5" x14ac:dyDescent="0.35">
      <c r="B7" s="8" t="s">
        <v>3</v>
      </c>
      <c r="C7" s="8" t="s">
        <v>4</v>
      </c>
      <c r="D7" s="15" t="s">
        <v>5</v>
      </c>
      <c r="E7" s="453" t="s">
        <v>6</v>
      </c>
      <c r="F7" s="454"/>
      <c r="G7" s="454"/>
      <c r="H7" s="454"/>
      <c r="I7" s="454"/>
      <c r="J7" s="15" t="s">
        <v>7</v>
      </c>
      <c r="K7" s="15" t="s">
        <v>8</v>
      </c>
      <c r="L7" s="15" t="s">
        <v>9</v>
      </c>
    </row>
    <row r="8" spans="1:15" x14ac:dyDescent="0.35">
      <c r="B8" s="16" t="s">
        <v>10</v>
      </c>
      <c r="C8" s="17" t="s">
        <v>11</v>
      </c>
      <c r="D8" s="33" t="s">
        <v>12</v>
      </c>
      <c r="E8" s="444" t="s">
        <v>13</v>
      </c>
      <c r="F8" s="445"/>
      <c r="G8" s="445"/>
      <c r="H8" s="445"/>
      <c r="I8" s="446"/>
      <c r="J8" s="18" t="s">
        <v>14</v>
      </c>
      <c r="K8" s="19">
        <v>41535</v>
      </c>
      <c r="L8" s="9" t="s">
        <v>15</v>
      </c>
    </row>
    <row r="9" spans="1:15" ht="63" customHeight="1" x14ac:dyDescent="0.35">
      <c r="B9" s="16" t="s">
        <v>16</v>
      </c>
      <c r="C9" s="17" t="s">
        <v>17</v>
      </c>
      <c r="D9" s="33" t="s">
        <v>12</v>
      </c>
      <c r="E9" s="444" t="s">
        <v>18</v>
      </c>
      <c r="F9" s="447"/>
      <c r="G9" s="447"/>
      <c r="H9" s="447"/>
      <c r="I9" s="448"/>
      <c r="J9" s="18" t="s">
        <v>14</v>
      </c>
      <c r="K9" s="19">
        <v>41670</v>
      </c>
      <c r="L9" s="9" t="s">
        <v>15</v>
      </c>
    </row>
    <row r="10" spans="1:15" x14ac:dyDescent="0.35">
      <c r="B10" s="16" t="s">
        <v>19</v>
      </c>
      <c r="C10" s="17" t="s">
        <v>20</v>
      </c>
      <c r="D10" s="33" t="s">
        <v>12</v>
      </c>
      <c r="E10" s="444" t="s">
        <v>21</v>
      </c>
      <c r="F10" s="447"/>
      <c r="G10" s="447"/>
      <c r="H10" s="447"/>
      <c r="I10" s="448"/>
      <c r="J10" s="18" t="s">
        <v>14</v>
      </c>
      <c r="K10" s="19">
        <v>41752</v>
      </c>
      <c r="L10" s="9" t="s">
        <v>15</v>
      </c>
    </row>
    <row r="11" spans="1:15" x14ac:dyDescent="0.35">
      <c r="B11" s="16" t="s">
        <v>22</v>
      </c>
      <c r="C11" s="17" t="s">
        <v>23</v>
      </c>
      <c r="D11" s="33" t="s">
        <v>12</v>
      </c>
      <c r="E11" s="444" t="s">
        <v>24</v>
      </c>
      <c r="F11" s="447"/>
      <c r="G11" s="447"/>
      <c r="H11" s="447"/>
      <c r="I11" s="448"/>
      <c r="J11" s="18" t="s">
        <v>14</v>
      </c>
      <c r="K11" s="19">
        <v>41765</v>
      </c>
      <c r="L11" s="9" t="s">
        <v>15</v>
      </c>
    </row>
    <row r="12" spans="1:15" ht="58" x14ac:dyDescent="0.35">
      <c r="B12" s="16" t="s">
        <v>25</v>
      </c>
      <c r="C12" s="17" t="s">
        <v>26</v>
      </c>
      <c r="D12" s="33" t="s">
        <v>12</v>
      </c>
      <c r="E12" s="444" t="s">
        <v>27</v>
      </c>
      <c r="F12" s="447"/>
      <c r="G12" s="447"/>
      <c r="H12" s="447"/>
      <c r="I12" s="448"/>
      <c r="J12" s="18" t="s">
        <v>28</v>
      </c>
      <c r="K12" s="19">
        <v>41806</v>
      </c>
      <c r="L12" s="9" t="s">
        <v>15</v>
      </c>
    </row>
    <row r="13" spans="1:15" ht="58" x14ac:dyDescent="0.35">
      <c r="B13" s="16" t="s">
        <v>29</v>
      </c>
      <c r="C13" s="17" t="s">
        <v>30</v>
      </c>
      <c r="D13" s="33" t="s">
        <v>12</v>
      </c>
      <c r="E13" s="444" t="s">
        <v>31</v>
      </c>
      <c r="F13" s="447"/>
      <c r="G13" s="447"/>
      <c r="H13" s="447"/>
      <c r="I13" s="448"/>
      <c r="J13" s="18" t="s">
        <v>28</v>
      </c>
      <c r="K13" s="19">
        <v>42018</v>
      </c>
      <c r="L13" s="9" t="s">
        <v>15</v>
      </c>
    </row>
    <row r="14" spans="1:15" ht="58" x14ac:dyDescent="0.35">
      <c r="B14" s="16" t="s">
        <v>32</v>
      </c>
      <c r="C14" s="17" t="s">
        <v>33</v>
      </c>
      <c r="D14" s="33" t="s">
        <v>12</v>
      </c>
      <c r="E14" s="444" t="s">
        <v>34</v>
      </c>
      <c r="F14" s="447"/>
      <c r="G14" s="447"/>
      <c r="H14" s="447"/>
      <c r="I14" s="448"/>
      <c r="J14" s="18" t="s">
        <v>28</v>
      </c>
      <c r="K14" s="19">
        <v>42027</v>
      </c>
      <c r="L14" s="9" t="s">
        <v>15</v>
      </c>
    </row>
    <row r="15" spans="1:15" ht="58" x14ac:dyDescent="0.35">
      <c r="B15" s="16" t="s">
        <v>32</v>
      </c>
      <c r="C15" s="17" t="s">
        <v>35</v>
      </c>
      <c r="D15" s="33" t="s">
        <v>12</v>
      </c>
      <c r="E15" s="444" t="s">
        <v>36</v>
      </c>
      <c r="F15" s="447"/>
      <c r="G15" s="447"/>
      <c r="H15" s="447"/>
      <c r="I15" s="448"/>
      <c r="J15" s="18" t="s">
        <v>28</v>
      </c>
      <c r="K15" s="19">
        <v>42163</v>
      </c>
      <c r="L15" s="9" t="s">
        <v>15</v>
      </c>
    </row>
    <row r="16" spans="1:15" ht="58" x14ac:dyDescent="0.35">
      <c r="B16" s="16" t="s">
        <v>32</v>
      </c>
      <c r="C16" s="17" t="s">
        <v>37</v>
      </c>
      <c r="D16" s="33" t="s">
        <v>12</v>
      </c>
      <c r="E16" s="444" t="s">
        <v>38</v>
      </c>
      <c r="F16" s="447"/>
      <c r="G16" s="447"/>
      <c r="H16" s="447"/>
      <c r="I16" s="448"/>
      <c r="J16" s="18" t="s">
        <v>28</v>
      </c>
      <c r="K16" s="19">
        <v>42269</v>
      </c>
      <c r="L16" s="9" t="s">
        <v>15</v>
      </c>
    </row>
    <row r="17" spans="2:12" ht="46.5" customHeight="1" x14ac:dyDescent="0.35">
      <c r="B17" s="16" t="s">
        <v>39</v>
      </c>
      <c r="C17" s="17" t="s">
        <v>40</v>
      </c>
      <c r="D17" s="33" t="s">
        <v>12</v>
      </c>
      <c r="E17" s="444" t="s">
        <v>41</v>
      </c>
      <c r="F17" s="447"/>
      <c r="G17" s="447"/>
      <c r="H17" s="447"/>
      <c r="I17" s="448"/>
      <c r="J17" s="18"/>
      <c r="K17" s="19">
        <v>42473</v>
      </c>
      <c r="L17" s="9" t="s">
        <v>15</v>
      </c>
    </row>
    <row r="18" spans="2:12" ht="46.5" customHeight="1" x14ac:dyDescent="0.35">
      <c r="B18" s="16" t="s">
        <v>39</v>
      </c>
      <c r="C18" s="17" t="s">
        <v>42</v>
      </c>
      <c r="D18" s="33" t="s">
        <v>43</v>
      </c>
      <c r="E18" s="444" t="s">
        <v>44</v>
      </c>
      <c r="F18" s="447"/>
      <c r="G18" s="447"/>
      <c r="H18" s="447"/>
      <c r="I18" s="448"/>
      <c r="J18" s="18"/>
      <c r="K18" s="19">
        <v>42753</v>
      </c>
      <c r="L18" s="9" t="s">
        <v>15</v>
      </c>
    </row>
    <row r="19" spans="2:12" ht="46.5" customHeight="1" x14ac:dyDescent="0.35">
      <c r="B19" s="16" t="s">
        <v>39</v>
      </c>
      <c r="C19" s="17" t="s">
        <v>45</v>
      </c>
      <c r="D19" s="33" t="s">
        <v>12</v>
      </c>
      <c r="E19" s="444" t="s">
        <v>46</v>
      </c>
      <c r="F19" s="447"/>
      <c r="G19" s="447"/>
      <c r="H19" s="447"/>
      <c r="I19" s="448"/>
      <c r="J19" s="18" t="s">
        <v>28</v>
      </c>
      <c r="K19" s="19">
        <v>42756</v>
      </c>
      <c r="L19" s="9" t="s">
        <v>15</v>
      </c>
    </row>
    <row r="20" spans="2:12" ht="111.65" customHeight="1" x14ac:dyDescent="0.35">
      <c r="B20" s="16" t="s">
        <v>39</v>
      </c>
      <c r="C20" s="17" t="s">
        <v>47</v>
      </c>
      <c r="D20" s="33" t="s">
        <v>43</v>
      </c>
      <c r="E20" s="444" t="s">
        <v>48</v>
      </c>
      <c r="F20" s="445"/>
      <c r="G20" s="445"/>
      <c r="H20" s="445"/>
      <c r="I20" s="446"/>
      <c r="J20" s="18" t="s">
        <v>49</v>
      </c>
      <c r="K20" s="19">
        <v>42864</v>
      </c>
      <c r="L20" s="9" t="s">
        <v>15</v>
      </c>
    </row>
    <row r="21" spans="2:12" ht="111.65" customHeight="1" x14ac:dyDescent="0.35">
      <c r="B21" s="16" t="s">
        <v>39</v>
      </c>
      <c r="C21" s="17" t="s">
        <v>50</v>
      </c>
      <c r="D21" s="33" t="s">
        <v>51</v>
      </c>
      <c r="E21" s="444" t="s">
        <v>52</v>
      </c>
      <c r="F21" s="445"/>
      <c r="G21" s="445"/>
      <c r="H21" s="445"/>
      <c r="I21" s="446"/>
      <c r="J21" s="18" t="s">
        <v>53</v>
      </c>
      <c r="K21" s="19">
        <v>42880</v>
      </c>
      <c r="L21" s="9" t="s">
        <v>15</v>
      </c>
    </row>
    <row r="22" spans="2:12" ht="111.65" customHeight="1" x14ac:dyDescent="0.35">
      <c r="B22" s="16" t="s">
        <v>39</v>
      </c>
      <c r="C22" s="17" t="s">
        <v>54</v>
      </c>
      <c r="D22" s="33" t="s">
        <v>51</v>
      </c>
      <c r="E22" s="444" t="s">
        <v>55</v>
      </c>
      <c r="F22" s="445"/>
      <c r="G22" s="445"/>
      <c r="H22" s="445"/>
      <c r="I22" s="446"/>
      <c r="J22" s="18" t="s">
        <v>53</v>
      </c>
      <c r="K22" s="19">
        <v>42883</v>
      </c>
      <c r="L22" s="9" t="s">
        <v>15</v>
      </c>
    </row>
    <row r="23" spans="2:12" ht="111.65" customHeight="1" x14ac:dyDescent="0.35">
      <c r="B23" s="16" t="s">
        <v>39</v>
      </c>
      <c r="C23" s="17" t="s">
        <v>56</v>
      </c>
      <c r="D23" s="33" t="s">
        <v>51</v>
      </c>
      <c r="E23" s="444" t="s">
        <v>57</v>
      </c>
      <c r="F23" s="445"/>
      <c r="G23" s="445"/>
      <c r="H23" s="445"/>
      <c r="I23" s="446"/>
      <c r="J23" s="18" t="s">
        <v>53</v>
      </c>
      <c r="K23" s="19">
        <v>42983</v>
      </c>
      <c r="L23" s="9" t="s">
        <v>15</v>
      </c>
    </row>
    <row r="24" spans="2:12" ht="111.65" customHeight="1" x14ac:dyDescent="0.35">
      <c r="B24" s="16" t="s">
        <v>39</v>
      </c>
      <c r="C24" s="17" t="s">
        <v>58</v>
      </c>
      <c r="D24" s="33" t="s">
        <v>12</v>
      </c>
      <c r="E24" s="444" t="s">
        <v>59</v>
      </c>
      <c r="F24" s="445"/>
      <c r="G24" s="445"/>
      <c r="H24" s="445"/>
      <c r="I24" s="446"/>
      <c r="J24" s="18" t="s">
        <v>53</v>
      </c>
      <c r="K24" s="19">
        <v>42993</v>
      </c>
      <c r="L24" s="9" t="s">
        <v>15</v>
      </c>
    </row>
    <row r="25" spans="2:12" x14ac:dyDescent="0.35">
      <c r="B25" s="16" t="s">
        <v>60</v>
      </c>
      <c r="C25" s="17" t="s">
        <v>61</v>
      </c>
      <c r="D25" s="33" t="s">
        <v>12</v>
      </c>
      <c r="E25" s="444" t="s">
        <v>62</v>
      </c>
      <c r="F25" s="445"/>
      <c r="G25" s="445"/>
      <c r="H25" s="445"/>
      <c r="I25" s="446"/>
      <c r="J25" s="18" t="s">
        <v>53</v>
      </c>
      <c r="K25" s="19">
        <v>43054</v>
      </c>
      <c r="L25" s="9" t="s">
        <v>15</v>
      </c>
    </row>
    <row r="26" spans="2:12" x14ac:dyDescent="0.35">
      <c r="B26" s="16" t="s">
        <v>60</v>
      </c>
      <c r="C26" s="17" t="s">
        <v>63</v>
      </c>
      <c r="D26" s="33" t="s">
        <v>12</v>
      </c>
      <c r="E26" s="444" t="s">
        <v>64</v>
      </c>
      <c r="F26" s="445"/>
      <c r="G26" s="445"/>
      <c r="H26" s="445"/>
      <c r="I26" s="446"/>
      <c r="J26" s="18" t="s">
        <v>53</v>
      </c>
      <c r="K26" s="19">
        <v>43063</v>
      </c>
      <c r="L26" s="9" t="s">
        <v>15</v>
      </c>
    </row>
    <row r="27" spans="2:12" x14ac:dyDescent="0.35">
      <c r="B27" s="16" t="s">
        <v>60</v>
      </c>
      <c r="C27" s="17" t="s">
        <v>65</v>
      </c>
      <c r="D27" s="33" t="s">
        <v>12</v>
      </c>
      <c r="E27" s="444" t="s">
        <v>66</v>
      </c>
      <c r="F27" s="445"/>
      <c r="G27" s="445"/>
      <c r="H27" s="445"/>
      <c r="I27" s="446"/>
      <c r="J27" s="18" t="s">
        <v>53</v>
      </c>
      <c r="K27" s="19">
        <v>43068</v>
      </c>
      <c r="L27" s="9" t="s">
        <v>15</v>
      </c>
    </row>
    <row r="28" spans="2:12" x14ac:dyDescent="0.35">
      <c r="B28" s="16" t="s">
        <v>60</v>
      </c>
      <c r="C28" s="17" t="s">
        <v>67</v>
      </c>
      <c r="D28" s="33" t="s">
        <v>12</v>
      </c>
      <c r="E28" s="444" t="s">
        <v>68</v>
      </c>
      <c r="F28" s="445"/>
      <c r="G28" s="445"/>
      <c r="H28" s="445"/>
      <c r="I28" s="446"/>
      <c r="J28" s="18" t="s">
        <v>53</v>
      </c>
      <c r="K28" s="19">
        <v>43069</v>
      </c>
      <c r="L28" s="9" t="s">
        <v>15</v>
      </c>
    </row>
    <row r="29" spans="2:12" x14ac:dyDescent="0.35">
      <c r="B29" s="16" t="s">
        <v>69</v>
      </c>
      <c r="C29" s="17" t="s">
        <v>70</v>
      </c>
      <c r="D29" s="33" t="s">
        <v>71</v>
      </c>
      <c r="E29" s="444" t="s">
        <v>72</v>
      </c>
      <c r="F29" s="445"/>
      <c r="G29" s="445"/>
      <c r="H29" s="445"/>
      <c r="I29" s="446"/>
      <c r="J29" s="18" t="s">
        <v>53</v>
      </c>
      <c r="K29" s="19">
        <v>43074</v>
      </c>
      <c r="L29" s="9" t="s">
        <v>15</v>
      </c>
    </row>
    <row r="30" spans="2:12" ht="42.75" customHeight="1" x14ac:dyDescent="0.35">
      <c r="B30" s="16" t="s">
        <v>73</v>
      </c>
      <c r="C30" s="17" t="s">
        <v>74</v>
      </c>
      <c r="D30" s="33" t="s">
        <v>75</v>
      </c>
      <c r="E30" s="444" t="s">
        <v>76</v>
      </c>
      <c r="F30" s="445"/>
      <c r="G30" s="445"/>
      <c r="H30" s="445"/>
      <c r="I30" s="446"/>
      <c r="J30" s="18" t="s">
        <v>53</v>
      </c>
      <c r="K30" s="19">
        <v>43412</v>
      </c>
      <c r="L30" s="9" t="s">
        <v>15</v>
      </c>
    </row>
    <row r="31" spans="2:12" ht="42.75" customHeight="1" x14ac:dyDescent="0.35">
      <c r="B31" s="16" t="s">
        <v>73</v>
      </c>
      <c r="C31" s="17" t="s">
        <v>77</v>
      </c>
      <c r="D31" s="33" t="s">
        <v>75</v>
      </c>
      <c r="E31" s="444" t="s">
        <v>78</v>
      </c>
      <c r="F31" s="445"/>
      <c r="G31" s="445"/>
      <c r="H31" s="445"/>
      <c r="I31" s="446"/>
      <c r="J31" s="18" t="s">
        <v>53</v>
      </c>
      <c r="K31" s="19">
        <v>43440</v>
      </c>
      <c r="L31" s="9" t="s">
        <v>15</v>
      </c>
    </row>
    <row r="32" spans="2:12" x14ac:dyDescent="0.35">
      <c r="B32" s="16" t="s">
        <v>73</v>
      </c>
      <c r="C32" s="17" t="s">
        <v>79</v>
      </c>
      <c r="D32" s="33" t="s">
        <v>75</v>
      </c>
      <c r="E32" s="444" t="s">
        <v>80</v>
      </c>
      <c r="F32" s="445"/>
      <c r="G32" s="445"/>
      <c r="H32" s="445"/>
      <c r="I32" s="446"/>
      <c r="J32" s="18" t="s">
        <v>53</v>
      </c>
      <c r="K32" s="19">
        <v>43496</v>
      </c>
      <c r="L32" s="9" t="s">
        <v>15</v>
      </c>
    </row>
    <row r="33" spans="1:12" x14ac:dyDescent="0.35">
      <c r="B33" s="16" t="s">
        <v>73</v>
      </c>
      <c r="C33" s="17" t="s">
        <v>81</v>
      </c>
      <c r="D33" s="33" t="s">
        <v>75</v>
      </c>
      <c r="E33" s="444" t="s">
        <v>82</v>
      </c>
      <c r="F33" s="445"/>
      <c r="G33" s="445"/>
      <c r="H33" s="445"/>
      <c r="I33" s="446"/>
      <c r="J33" s="18" t="s">
        <v>53</v>
      </c>
      <c r="K33" s="19">
        <v>43510</v>
      </c>
      <c r="L33" s="9" t="s">
        <v>15</v>
      </c>
    </row>
    <row r="34" spans="1:12" x14ac:dyDescent="0.35">
      <c r="B34" s="16" t="s">
        <v>73</v>
      </c>
      <c r="C34" s="17" t="s">
        <v>83</v>
      </c>
      <c r="D34" s="33" t="s">
        <v>75</v>
      </c>
      <c r="E34" s="444" t="s">
        <v>82</v>
      </c>
      <c r="F34" s="445"/>
      <c r="G34" s="445"/>
      <c r="H34" s="445"/>
      <c r="I34" s="446"/>
      <c r="J34" s="18" t="s">
        <v>53</v>
      </c>
      <c r="K34" s="19">
        <v>43511</v>
      </c>
      <c r="L34" s="9" t="s">
        <v>15</v>
      </c>
    </row>
    <row r="35" spans="1:12" x14ac:dyDescent="0.35">
      <c r="B35" s="16" t="s">
        <v>73</v>
      </c>
      <c r="C35" s="17" t="s">
        <v>84</v>
      </c>
      <c r="D35" s="33" t="s">
        <v>85</v>
      </c>
      <c r="E35" s="444" t="s">
        <v>86</v>
      </c>
      <c r="F35" s="445"/>
      <c r="G35" s="445"/>
      <c r="H35" s="445"/>
      <c r="I35" s="446"/>
      <c r="J35" s="18" t="s">
        <v>87</v>
      </c>
      <c r="K35" s="19">
        <v>43563</v>
      </c>
      <c r="L35" s="9" t="s">
        <v>15</v>
      </c>
    </row>
    <row r="36" spans="1:12" x14ac:dyDescent="0.35">
      <c r="B36" s="16" t="s">
        <v>73</v>
      </c>
      <c r="C36" s="17" t="s">
        <v>88</v>
      </c>
      <c r="D36" s="33" t="s">
        <v>85</v>
      </c>
      <c r="E36" s="444" t="s">
        <v>89</v>
      </c>
      <c r="F36" s="445"/>
      <c r="G36" s="445"/>
      <c r="H36" s="445"/>
      <c r="I36" s="446"/>
      <c r="J36" s="18" t="s">
        <v>87</v>
      </c>
      <c r="K36" s="19">
        <v>43683</v>
      </c>
      <c r="L36" s="9" t="s">
        <v>15</v>
      </c>
    </row>
    <row r="37" spans="1:12" x14ac:dyDescent="0.35">
      <c r="B37" s="16" t="s">
        <v>73</v>
      </c>
      <c r="C37" s="17" t="s">
        <v>90</v>
      </c>
      <c r="D37" s="33" t="s">
        <v>85</v>
      </c>
      <c r="E37" s="444" t="s">
        <v>89</v>
      </c>
      <c r="F37" s="445"/>
      <c r="G37" s="445"/>
      <c r="H37" s="445"/>
      <c r="I37" s="446"/>
      <c r="J37" s="18" t="s">
        <v>87</v>
      </c>
      <c r="K37" s="19">
        <v>43699</v>
      </c>
      <c r="L37" s="9" t="s">
        <v>15</v>
      </c>
    </row>
    <row r="38" spans="1:12" x14ac:dyDescent="0.35">
      <c r="B38" s="16" t="s">
        <v>73</v>
      </c>
      <c r="C38" s="17" t="s">
        <v>91</v>
      </c>
      <c r="D38" s="33" t="s">
        <v>85</v>
      </c>
      <c r="E38" s="444" t="s">
        <v>89</v>
      </c>
      <c r="F38" s="445"/>
      <c r="G38" s="445"/>
      <c r="H38" s="445"/>
      <c r="I38" s="446"/>
      <c r="J38" s="136" t="s">
        <v>87</v>
      </c>
      <c r="K38" s="137">
        <v>43843</v>
      </c>
      <c r="L38" s="217" t="s">
        <v>15</v>
      </c>
    </row>
    <row r="39" spans="1:12" ht="77" customHeight="1" x14ac:dyDescent="0.35">
      <c r="B39" s="195" t="s">
        <v>92</v>
      </c>
      <c r="C39" s="196" t="s">
        <v>93</v>
      </c>
      <c r="D39" s="197" t="s">
        <v>75</v>
      </c>
      <c r="E39" s="444" t="s">
        <v>94</v>
      </c>
      <c r="F39" s="445"/>
      <c r="G39" s="445"/>
      <c r="H39" s="445"/>
      <c r="I39" s="446"/>
      <c r="J39" s="18" t="s">
        <v>95</v>
      </c>
      <c r="K39" s="19">
        <v>44028</v>
      </c>
      <c r="L39" s="217" t="s">
        <v>96</v>
      </c>
    </row>
    <row r="40" spans="1:12" ht="77" customHeight="1" x14ac:dyDescent="0.35">
      <c r="B40" s="195" t="s">
        <v>92</v>
      </c>
      <c r="C40" s="196" t="s">
        <v>97</v>
      </c>
      <c r="D40" s="197" t="s">
        <v>98</v>
      </c>
      <c r="E40" s="444" t="s">
        <v>99</v>
      </c>
      <c r="F40" s="445"/>
      <c r="G40" s="445"/>
      <c r="H40" s="445"/>
      <c r="I40" s="446"/>
      <c r="J40" s="18" t="s">
        <v>100</v>
      </c>
      <c r="K40" s="19">
        <v>44253</v>
      </c>
      <c r="L40" s="217" t="s">
        <v>96</v>
      </c>
    </row>
    <row r="41" spans="1:12" x14ac:dyDescent="0.35">
      <c r="B41" s="4"/>
      <c r="C41" s="14"/>
      <c r="D41" s="191"/>
      <c r="E41" s="192"/>
      <c r="F41" s="192"/>
      <c r="G41" s="192"/>
      <c r="H41" s="192"/>
      <c r="I41" s="192"/>
      <c r="J41" s="193"/>
      <c r="K41" s="194"/>
      <c r="L41" s="105"/>
    </row>
    <row r="42" spans="1:12" s="20" customFormat="1" ht="13" x14ac:dyDescent="0.3"/>
    <row r="43" spans="1:12" s="20" customFormat="1" ht="13" x14ac:dyDescent="0.3">
      <c r="A43" s="21"/>
      <c r="B43" s="23" t="s">
        <v>101</v>
      </c>
      <c r="C43" s="21"/>
      <c r="D43" s="21"/>
      <c r="E43" s="21"/>
      <c r="F43" s="21"/>
    </row>
    <row r="44" spans="1:12" s="20" customFormat="1" ht="13" x14ac:dyDescent="0.3">
      <c r="B44" s="20" t="s">
        <v>102</v>
      </c>
    </row>
    <row r="45" spans="1:12" s="20" customFormat="1" ht="12" customHeight="1" x14ac:dyDescent="0.3"/>
    <row r="46" spans="1:12" s="20" customFormat="1" ht="52" x14ac:dyDescent="0.3">
      <c r="B46" s="24" t="s">
        <v>103</v>
      </c>
    </row>
    <row r="47" spans="1:12" s="20" customFormat="1" ht="13" x14ac:dyDescent="0.3">
      <c r="B47" s="22"/>
    </row>
    <row r="48" spans="1:12" s="20" customFormat="1" ht="13" x14ac:dyDescent="0.3">
      <c r="B48" s="22"/>
    </row>
  </sheetData>
  <mergeCells count="36">
    <mergeCell ref="E37:I37"/>
    <mergeCell ref="E38:I38"/>
    <mergeCell ref="E29:I29"/>
    <mergeCell ref="E19:I19"/>
    <mergeCell ref="E21:I21"/>
    <mergeCell ref="E20:I20"/>
    <mergeCell ref="E28:I28"/>
    <mergeCell ref="E25:I25"/>
    <mergeCell ref="E33:I33"/>
    <mergeCell ref="E32:I32"/>
    <mergeCell ref="E27:I27"/>
    <mergeCell ref="E31:I31"/>
    <mergeCell ref="E30:I30"/>
    <mergeCell ref="E26:I26"/>
    <mergeCell ref="E34:I34"/>
    <mergeCell ref="C2:D2"/>
    <mergeCell ref="E2:J2"/>
    <mergeCell ref="E7:I7"/>
    <mergeCell ref="E8:I8"/>
    <mergeCell ref="E9:I9"/>
    <mergeCell ref="E40:I40"/>
    <mergeCell ref="E10:I10"/>
    <mergeCell ref="E11:I11"/>
    <mergeCell ref="E12:I12"/>
    <mergeCell ref="E13:I13"/>
    <mergeCell ref="E14:I14"/>
    <mergeCell ref="E35:I35"/>
    <mergeCell ref="E36:I36"/>
    <mergeCell ref="E15:I15"/>
    <mergeCell ref="E18:I18"/>
    <mergeCell ref="E24:I24"/>
    <mergeCell ref="E23:I23"/>
    <mergeCell ref="E22:I22"/>
    <mergeCell ref="E17:I17"/>
    <mergeCell ref="E16:I16"/>
    <mergeCell ref="E39:I39"/>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O26"/>
  <sheetViews>
    <sheetView topLeftCell="C1" zoomScale="85" zoomScaleNormal="85" workbookViewId="0">
      <selection activeCell="K15" sqref="K15"/>
    </sheetView>
  </sheetViews>
  <sheetFormatPr defaultRowHeight="14.5" x14ac:dyDescent="0.35"/>
  <cols>
    <col min="1" max="1" width="3.453125" customWidth="1"/>
    <col min="2" max="2" width="45.54296875" customWidth="1"/>
    <col min="3" max="3" width="7.90625" customWidth="1"/>
    <col min="4" max="4" width="15.08984375" customWidth="1"/>
    <col min="5" max="7" width="7.90625" customWidth="1"/>
    <col min="8" max="8" width="29.90625" customWidth="1"/>
    <col min="10" max="10" width="45.36328125" customWidth="1"/>
    <col min="11" max="12" width="14.453125" customWidth="1"/>
  </cols>
  <sheetData>
    <row r="2" spans="1:15" ht="118.5" customHeight="1" x14ac:dyDescent="0.35">
      <c r="C2" s="449" t="s">
        <v>0</v>
      </c>
      <c r="D2" s="455"/>
      <c r="E2" s="450"/>
      <c r="F2" s="451" t="s">
        <v>104</v>
      </c>
      <c r="G2" s="452"/>
      <c r="H2" s="452"/>
      <c r="I2" s="452"/>
      <c r="J2" s="452"/>
      <c r="K2" s="452"/>
      <c r="L2" s="216"/>
      <c r="M2" s="3"/>
      <c r="N2" s="3"/>
      <c r="O2" s="3"/>
    </row>
    <row r="3" spans="1:15" ht="44.25" customHeight="1" x14ac:dyDescent="0.35">
      <c r="C3" s="3"/>
      <c r="D3" s="3"/>
      <c r="E3" s="4"/>
      <c r="F3" s="5"/>
      <c r="G3" s="4"/>
      <c r="H3" s="4"/>
      <c r="I3" s="4"/>
      <c r="J3" s="4"/>
      <c r="K3" s="3"/>
      <c r="L3" s="3"/>
      <c r="M3" s="3"/>
      <c r="N3" s="3"/>
      <c r="O3" s="3"/>
    </row>
    <row r="4" spans="1:15" ht="23.5" x14ac:dyDescent="0.35">
      <c r="C4" s="3"/>
      <c r="D4" s="3"/>
      <c r="E4" s="5"/>
    </row>
    <row r="5" spans="1:15" ht="18.5" x14ac:dyDescent="0.45">
      <c r="A5" s="6"/>
      <c r="B5" s="7" t="s">
        <v>105</v>
      </c>
      <c r="C5" s="6"/>
      <c r="D5" s="6"/>
      <c r="E5" s="6"/>
      <c r="F5" s="6"/>
      <c r="G5" s="6"/>
      <c r="H5" s="6"/>
      <c r="I5" s="6"/>
      <c r="J5" s="6"/>
      <c r="K5" s="6"/>
      <c r="L5" s="6"/>
    </row>
    <row r="6" spans="1:15" ht="3.75" customHeight="1" x14ac:dyDescent="0.35"/>
    <row r="7" spans="1:15" ht="15.5" x14ac:dyDescent="0.35">
      <c r="B7" s="72" t="s">
        <v>3</v>
      </c>
      <c r="C7" s="72" t="s">
        <v>4</v>
      </c>
      <c r="D7" s="73" t="s">
        <v>5</v>
      </c>
      <c r="E7" s="456" t="s">
        <v>6</v>
      </c>
      <c r="F7" s="457"/>
      <c r="G7" s="457"/>
      <c r="H7" s="457"/>
      <c r="I7" s="457"/>
      <c r="J7" s="73" t="s">
        <v>7</v>
      </c>
      <c r="K7" s="73" t="s">
        <v>8</v>
      </c>
      <c r="L7" s="73" t="s">
        <v>9</v>
      </c>
    </row>
    <row r="8" spans="1:15" x14ac:dyDescent="0.35">
      <c r="B8" s="9" t="s">
        <v>1085</v>
      </c>
      <c r="C8" s="9" t="s">
        <v>1088</v>
      </c>
      <c r="D8" s="25" t="s">
        <v>1087</v>
      </c>
      <c r="E8" s="458" t="s">
        <v>1086</v>
      </c>
      <c r="F8" s="458"/>
      <c r="G8" s="458"/>
      <c r="H8" s="458"/>
      <c r="I8" s="458"/>
      <c r="J8" s="18" t="s">
        <v>1137</v>
      </c>
      <c r="K8" s="25">
        <v>44767</v>
      </c>
      <c r="L8" s="9" t="s">
        <v>1139</v>
      </c>
    </row>
    <row r="9" spans="1:15" x14ac:dyDescent="0.35">
      <c r="B9" s="9"/>
      <c r="C9" s="9" t="s">
        <v>1136</v>
      </c>
      <c r="D9" s="25" t="s">
        <v>1087</v>
      </c>
      <c r="E9" s="458" t="s">
        <v>1138</v>
      </c>
      <c r="F9" s="458"/>
      <c r="G9" s="458"/>
      <c r="H9" s="458"/>
      <c r="I9" s="458"/>
      <c r="J9" s="18" t="s">
        <v>1137</v>
      </c>
      <c r="K9" s="25">
        <v>44824</v>
      </c>
      <c r="L9" s="9" t="s">
        <v>1139</v>
      </c>
    </row>
    <row r="10" spans="1:15" x14ac:dyDescent="0.35">
      <c r="B10" s="9"/>
      <c r="C10" s="9" t="s">
        <v>1136</v>
      </c>
      <c r="D10" s="25" t="s">
        <v>1087</v>
      </c>
      <c r="E10" s="458" t="s">
        <v>1138</v>
      </c>
      <c r="F10" s="458"/>
      <c r="G10" s="458"/>
      <c r="H10" s="458"/>
      <c r="I10" s="458"/>
      <c r="J10" s="18" t="s">
        <v>1144</v>
      </c>
      <c r="K10" s="25">
        <v>44830</v>
      </c>
      <c r="L10" s="9" t="s">
        <v>1139</v>
      </c>
    </row>
    <row r="11" spans="1:15" x14ac:dyDescent="0.35">
      <c r="B11" s="10"/>
      <c r="C11" s="11"/>
      <c r="D11" s="11"/>
      <c r="E11" s="11"/>
      <c r="F11" s="11"/>
      <c r="G11" s="11"/>
    </row>
    <row r="12" spans="1:15" s="26" customFormat="1" ht="12" x14ac:dyDescent="0.3"/>
    <row r="13" spans="1:15" s="26" customFormat="1" ht="12" x14ac:dyDescent="0.3">
      <c r="A13" s="27"/>
      <c r="B13" s="28" t="s">
        <v>101</v>
      </c>
    </row>
    <row r="14" spans="1:15" s="26" customFormat="1" ht="12" x14ac:dyDescent="0.3"/>
    <row r="15" spans="1:15" s="26" customFormat="1" ht="36" x14ac:dyDescent="0.3">
      <c r="B15" s="29" t="s">
        <v>106</v>
      </c>
      <c r="C15" s="30"/>
      <c r="D15" s="30"/>
      <c r="E15" s="30"/>
      <c r="F15" s="30"/>
      <c r="G15" s="30"/>
    </row>
    <row r="16" spans="1:15" s="26" customFormat="1" ht="12" x14ac:dyDescent="0.3">
      <c r="B16" s="31"/>
    </row>
    <row r="17" spans="2:8" s="26" customFormat="1" ht="48" x14ac:dyDescent="0.3">
      <c r="B17" s="29" t="s">
        <v>107</v>
      </c>
    </row>
    <row r="18" spans="2:8" s="26" customFormat="1" ht="12" x14ac:dyDescent="0.3">
      <c r="B18" s="32"/>
    </row>
    <row r="19" spans="2:8" s="26" customFormat="1" ht="12" x14ac:dyDescent="0.3">
      <c r="B19" s="29" t="s">
        <v>108</v>
      </c>
    </row>
    <row r="20" spans="2:8" s="26" customFormat="1" ht="12" x14ac:dyDescent="0.3"/>
    <row r="21" spans="2:8" x14ac:dyDescent="0.35">
      <c r="B21" s="12"/>
      <c r="C21" s="12"/>
      <c r="D21" s="12"/>
      <c r="E21" s="12"/>
      <c r="F21" s="12"/>
      <c r="G21" s="12"/>
      <c r="H21" s="12"/>
    </row>
    <row r="22" spans="2:8" x14ac:dyDescent="0.35">
      <c r="B22" s="13"/>
      <c r="C22" s="14"/>
      <c r="D22" s="14"/>
      <c r="E22" s="14"/>
      <c r="F22" s="14"/>
      <c r="G22" s="14"/>
      <c r="H22" s="13"/>
    </row>
    <row r="23" spans="2:8" x14ac:dyDescent="0.35">
      <c r="B23" s="13"/>
      <c r="C23" s="14"/>
      <c r="D23" s="14"/>
      <c r="E23" s="14"/>
      <c r="F23" s="14"/>
      <c r="G23" s="14"/>
      <c r="H23" s="13"/>
    </row>
    <row r="24" spans="2:8" x14ac:dyDescent="0.35">
      <c r="B24" s="13"/>
      <c r="C24" s="14"/>
      <c r="D24" s="14"/>
      <c r="E24" s="14"/>
      <c r="F24" s="14"/>
      <c r="G24" s="14"/>
      <c r="H24" s="13"/>
    </row>
    <row r="25" spans="2:8" x14ac:dyDescent="0.35">
      <c r="B25" s="13"/>
      <c r="C25" s="14"/>
      <c r="D25" s="14"/>
      <c r="E25" s="14"/>
      <c r="F25" s="14"/>
      <c r="G25" s="14"/>
      <c r="H25" s="13"/>
    </row>
    <row r="26" spans="2:8" x14ac:dyDescent="0.35">
      <c r="B26" s="13"/>
    </row>
  </sheetData>
  <mergeCells count="6">
    <mergeCell ref="C2:E2"/>
    <mergeCell ref="E7:I7"/>
    <mergeCell ref="E8:I8"/>
    <mergeCell ref="F2:K2"/>
    <mergeCell ref="E10:I10"/>
    <mergeCell ref="E9:I9"/>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D2374-B721-4688-9475-7D4A8253F698}">
  <sheetPr codeName="Sheet6" filterMode="1"/>
  <dimension ref="A1:P154"/>
  <sheetViews>
    <sheetView zoomScale="70" zoomScaleNormal="70" workbookViewId="0">
      <pane xSplit="8" ySplit="7" topLeftCell="N39" activePane="bottomRight" state="frozen"/>
      <selection pane="topRight" activeCell="I1" sqref="I1"/>
      <selection pane="bottomLeft" activeCell="A8" sqref="A8"/>
      <selection pane="bottomRight" activeCell="O78" sqref="O78"/>
    </sheetView>
  </sheetViews>
  <sheetFormatPr defaultColWidth="11.453125" defaultRowHeight="14.5" x14ac:dyDescent="0.35"/>
  <cols>
    <col min="1" max="1" width="1.36328125" customWidth="1"/>
    <col min="2" max="2" width="8.453125" customWidth="1"/>
    <col min="3" max="3" width="10.54296875" customWidth="1"/>
    <col min="4" max="4" width="24.54296875" customWidth="1"/>
    <col min="5" max="5" width="9.453125" customWidth="1"/>
    <col min="6" max="6" width="26.453125" customWidth="1"/>
    <col min="7" max="7" width="14.54296875" style="1" customWidth="1" collapsed="1"/>
    <col min="8" max="8" width="25.6328125" style="1" customWidth="1"/>
    <col min="9" max="9" width="56.90625" style="1" customWidth="1"/>
    <col min="10" max="10" width="29.90625" style="1" customWidth="1"/>
    <col min="11" max="11" width="4.08984375" style="1" customWidth="1"/>
    <col min="12" max="12" width="14.54296875" style="1" customWidth="1" collapsed="1"/>
    <col min="13" max="13" width="52.6328125" style="1" customWidth="1"/>
    <col min="14" max="14" width="49.36328125" style="1" customWidth="1"/>
    <col min="15" max="15" width="34.6328125" style="1" customWidth="1"/>
    <col min="16" max="16" width="11.453125" collapsed="1"/>
  </cols>
  <sheetData>
    <row r="1" spans="1:15" ht="23.5" x14ac:dyDescent="0.55000000000000004">
      <c r="B1" s="156"/>
      <c r="C1" s="156"/>
      <c r="D1" s="157" t="s">
        <v>109</v>
      </c>
      <c r="E1" s="156"/>
      <c r="F1" s="156"/>
      <c r="G1" s="45" t="s">
        <v>110</v>
      </c>
      <c r="H1" s="46" t="s">
        <v>111</v>
      </c>
      <c r="L1" s="42" t="s">
        <v>112</v>
      </c>
      <c r="M1" s="43" t="s">
        <v>113</v>
      </c>
      <c r="N1" s="111" t="s">
        <v>114</v>
      </c>
    </row>
    <row r="2" spans="1:15" ht="23.5" x14ac:dyDescent="0.55000000000000004">
      <c r="B2" s="156"/>
      <c r="C2" s="156"/>
      <c r="D2" s="156"/>
      <c r="E2" s="156"/>
      <c r="F2" s="156"/>
      <c r="G2" s="45" t="s">
        <v>115</v>
      </c>
      <c r="H2" s="46"/>
      <c r="L2" s="44" t="s">
        <v>116</v>
      </c>
      <c r="M2" s="43" t="s">
        <v>113</v>
      </c>
      <c r="N2" s="74" t="s">
        <v>1143</v>
      </c>
    </row>
    <row r="3" spans="1:15" ht="21" x14ac:dyDescent="0.35">
      <c r="C3" s="158"/>
      <c r="D3" s="459" t="s">
        <v>117</v>
      </c>
      <c r="E3" s="459"/>
      <c r="F3" s="459"/>
      <c r="G3" s="460" t="s">
        <v>118</v>
      </c>
      <c r="H3" s="460"/>
      <c r="I3" s="460"/>
      <c r="J3" s="460"/>
      <c r="K3" s="41"/>
      <c r="L3" s="461" t="s">
        <v>119</v>
      </c>
      <c r="M3" s="461"/>
      <c r="N3" s="461"/>
      <c r="O3" s="461"/>
    </row>
    <row r="4" spans="1:15" ht="21" x14ac:dyDescent="0.35">
      <c r="B4" s="37"/>
      <c r="C4" s="37"/>
      <c r="D4" s="459"/>
      <c r="E4" s="459"/>
      <c r="F4" s="459"/>
      <c r="G4" s="460"/>
      <c r="H4" s="460"/>
      <c r="I4" s="460"/>
      <c r="J4" s="460"/>
      <c r="K4" s="41"/>
      <c r="L4" s="461"/>
      <c r="M4" s="461"/>
      <c r="N4" s="461"/>
      <c r="O4" s="461"/>
    </row>
    <row r="5" spans="1:15" x14ac:dyDescent="0.35">
      <c r="C5" s="159"/>
      <c r="D5" s="462"/>
      <c r="E5" s="462"/>
      <c r="F5" s="462"/>
      <c r="G5" s="463" t="s">
        <v>120</v>
      </c>
      <c r="H5" s="463"/>
      <c r="I5" s="225"/>
      <c r="J5" s="225"/>
      <c r="K5" s="225"/>
      <c r="L5" s="463" t="s">
        <v>121</v>
      </c>
      <c r="M5" s="463"/>
      <c r="N5" s="47"/>
      <c r="O5" s="47"/>
    </row>
    <row r="6" spans="1:15" s="2" customFormat="1" x14ac:dyDescent="0.35">
      <c r="B6" s="473" t="s">
        <v>122</v>
      </c>
      <c r="C6" s="475" t="s">
        <v>122</v>
      </c>
      <c r="D6" s="477" t="s">
        <v>123</v>
      </c>
      <c r="E6" s="478" t="s">
        <v>124</v>
      </c>
      <c r="F6" s="477" t="s">
        <v>125</v>
      </c>
      <c r="G6" s="463" t="s">
        <v>126</v>
      </c>
      <c r="H6" s="463" t="s">
        <v>127</v>
      </c>
      <c r="I6" s="463" t="s">
        <v>128</v>
      </c>
      <c r="J6" s="463" t="s">
        <v>129</v>
      </c>
      <c r="K6" s="463"/>
      <c r="L6" s="463" t="s">
        <v>126</v>
      </c>
      <c r="M6" s="463" t="s">
        <v>127</v>
      </c>
      <c r="N6" s="463" t="s">
        <v>130</v>
      </c>
      <c r="O6" s="463" t="s">
        <v>131</v>
      </c>
    </row>
    <row r="7" spans="1:15" s="2" customFormat="1" hidden="1" x14ac:dyDescent="0.35">
      <c r="B7" s="474"/>
      <c r="C7" s="476"/>
      <c r="D7" s="477"/>
      <c r="E7" s="478"/>
      <c r="F7" s="477"/>
      <c r="G7" s="472"/>
      <c r="H7" s="472"/>
      <c r="I7" s="472"/>
      <c r="J7" s="472"/>
      <c r="K7" s="463"/>
      <c r="L7" s="463"/>
      <c r="M7" s="463"/>
      <c r="N7" s="463"/>
      <c r="O7" s="463"/>
    </row>
    <row r="8" spans="1:15" s="2" customFormat="1" hidden="1" x14ac:dyDescent="0.35">
      <c r="B8" s="160"/>
      <c r="C8" s="161"/>
      <c r="D8" s="160"/>
      <c r="E8" s="162"/>
      <c r="F8" s="160"/>
      <c r="G8" s="163"/>
      <c r="H8" s="163"/>
      <c r="I8" s="163"/>
      <c r="J8" s="163"/>
      <c r="K8" s="163"/>
      <c r="L8" s="163"/>
      <c r="M8" s="163"/>
      <c r="N8" s="163"/>
      <c r="O8" s="163"/>
    </row>
    <row r="9" spans="1:15" ht="167" customHeight="1" x14ac:dyDescent="0.35">
      <c r="A9" s="164"/>
      <c r="B9" s="464" t="s">
        <v>132</v>
      </c>
      <c r="C9" s="464" t="s">
        <v>133</v>
      </c>
      <c r="D9" s="464" t="s">
        <v>134</v>
      </c>
      <c r="E9" s="222" t="s">
        <v>135</v>
      </c>
      <c r="F9" s="224" t="s">
        <v>136</v>
      </c>
      <c r="G9" s="38" t="s">
        <v>137</v>
      </c>
      <c r="H9" s="219" t="s">
        <v>138</v>
      </c>
      <c r="I9" s="38" t="s">
        <v>139</v>
      </c>
      <c r="J9" s="467" t="s">
        <v>140</v>
      </c>
      <c r="K9" s="155"/>
      <c r="L9" s="35" t="s">
        <v>137</v>
      </c>
      <c r="M9" s="65" t="s">
        <v>141</v>
      </c>
      <c r="N9" s="66" t="s">
        <v>142</v>
      </c>
      <c r="O9" s="190" t="str">
        <f ca="1">HYPERLINK("#"&amp; CELL("address",INDEX([0]!lookup_data,MATCH(N9,[0]!lookup_data,0))),N9)</f>
        <v>AP SW Process</v>
      </c>
    </row>
    <row r="10" spans="1:15" ht="102" customHeight="1" x14ac:dyDescent="0.35">
      <c r="A10" s="164"/>
      <c r="B10" s="465"/>
      <c r="C10" s="465"/>
      <c r="D10" s="465"/>
      <c r="E10" s="222" t="s">
        <v>143</v>
      </c>
      <c r="F10" s="224" t="s">
        <v>144</v>
      </c>
      <c r="G10" s="38" t="s">
        <v>137</v>
      </c>
      <c r="H10" s="219" t="s">
        <v>145</v>
      </c>
      <c r="I10" s="38" t="s">
        <v>144</v>
      </c>
      <c r="J10" s="468"/>
      <c r="K10" s="155"/>
      <c r="L10" s="35" t="s">
        <v>137</v>
      </c>
      <c r="M10" s="65" t="s">
        <v>146</v>
      </c>
      <c r="N10" s="67" t="s">
        <v>147</v>
      </c>
      <c r="O10" s="190" t="str">
        <f ca="1">HYPERLINK("#"&amp; CELL("address",INDEX([0]!lookup_data,MATCH(N10,[0]!lookup_data,0))),N10)</f>
        <v>Competence Matrix and Training Plan</v>
      </c>
    </row>
    <row r="11" spans="1:15" ht="65" x14ac:dyDescent="0.35">
      <c r="A11" s="164"/>
      <c r="B11" s="465"/>
      <c r="C11" s="465"/>
      <c r="D11" s="465"/>
      <c r="E11" s="222" t="s">
        <v>148</v>
      </c>
      <c r="F11" s="166" t="s">
        <v>149</v>
      </c>
      <c r="G11" s="38" t="s">
        <v>137</v>
      </c>
      <c r="H11" s="219" t="s">
        <v>150</v>
      </c>
      <c r="I11" s="167" t="s">
        <v>151</v>
      </c>
      <c r="J11" s="468"/>
      <c r="K11" s="155"/>
      <c r="L11" s="35" t="s">
        <v>137</v>
      </c>
      <c r="M11" s="68" t="s">
        <v>152</v>
      </c>
      <c r="N11" s="67" t="s">
        <v>153</v>
      </c>
      <c r="O11" s="190" t="str">
        <f ca="1">HYPERLINK("#"&amp; CELL("address",INDEX([0]!lookup_data,MATCH(N11,[0]!lookup_data,0))),N11)</f>
        <v>ISO 9001 Certificate &amp; IATF 16949 Certificate</v>
      </c>
    </row>
    <row r="12" spans="1:15" ht="122.15" customHeight="1" x14ac:dyDescent="0.35">
      <c r="A12" s="164"/>
      <c r="B12" s="465"/>
      <c r="C12" s="466"/>
      <c r="D12" s="466"/>
      <c r="E12" s="222" t="s">
        <v>154</v>
      </c>
      <c r="F12" s="166" t="s">
        <v>155</v>
      </c>
      <c r="G12" s="38" t="s">
        <v>156</v>
      </c>
      <c r="H12" s="219" t="s">
        <v>138</v>
      </c>
      <c r="I12" s="165" t="s">
        <v>157</v>
      </c>
      <c r="J12" s="469"/>
      <c r="K12" s="155"/>
      <c r="L12" s="35" t="s">
        <v>137</v>
      </c>
      <c r="M12" s="65" t="s">
        <v>158</v>
      </c>
      <c r="N12" s="67" t="s">
        <v>159</v>
      </c>
      <c r="O12" s="190" t="str">
        <f ca="1">HYPERLINK("#"&amp; CELL("address",INDEX([0]!lookup_data,MATCH(N12,[0]!lookup_data,0))),N12)</f>
        <v>Safety Features Impacted report</v>
      </c>
    </row>
    <row r="13" spans="1:15" ht="84.9" hidden="1" customHeight="1" x14ac:dyDescent="0.35">
      <c r="A13" s="164"/>
      <c r="B13" s="465"/>
      <c r="C13" s="465" t="s">
        <v>160</v>
      </c>
      <c r="D13" s="464" t="s">
        <v>161</v>
      </c>
      <c r="E13" s="222" t="s">
        <v>162</v>
      </c>
      <c r="F13" s="168" t="s">
        <v>163</v>
      </c>
      <c r="G13" s="38" t="s">
        <v>164</v>
      </c>
      <c r="H13" s="219" t="s">
        <v>165</v>
      </c>
      <c r="I13" s="169"/>
      <c r="J13" s="219" t="s">
        <v>165</v>
      </c>
      <c r="K13" s="155"/>
      <c r="L13" s="35" t="s">
        <v>164</v>
      </c>
      <c r="M13" s="65" t="s">
        <v>166</v>
      </c>
      <c r="N13" s="35"/>
      <c r="O13" s="35"/>
    </row>
    <row r="14" spans="1:15" ht="83.15" customHeight="1" x14ac:dyDescent="0.35">
      <c r="A14" s="164"/>
      <c r="B14" s="465"/>
      <c r="C14" s="465"/>
      <c r="D14" s="465"/>
      <c r="E14" s="222" t="s">
        <v>167</v>
      </c>
      <c r="F14" s="170" t="s">
        <v>168</v>
      </c>
      <c r="G14" s="38" t="s">
        <v>137</v>
      </c>
      <c r="H14" s="220" t="s">
        <v>169</v>
      </c>
      <c r="I14" s="38" t="s">
        <v>170</v>
      </c>
      <c r="J14" s="219" t="s">
        <v>145</v>
      </c>
      <c r="K14" s="155"/>
      <c r="L14" s="35" t="s">
        <v>137</v>
      </c>
      <c r="M14" s="65" t="s">
        <v>171</v>
      </c>
      <c r="N14" s="67" t="s">
        <v>172</v>
      </c>
      <c r="O14" s="190" t="str">
        <f ca="1">HYPERLINK("#"&amp; CELL("address",INDEX([0]!lookup_data,MATCH(N14,[0]!lookup_data,0))),N14)</f>
        <v>Impact Analysis</v>
      </c>
    </row>
    <row r="15" spans="1:15" ht="102.65" customHeight="1" x14ac:dyDescent="0.35">
      <c r="A15" s="164"/>
      <c r="B15" s="465"/>
      <c r="C15" s="465"/>
      <c r="D15" s="465"/>
      <c r="E15" s="171" t="s">
        <v>173</v>
      </c>
      <c r="F15" s="224" t="s">
        <v>174</v>
      </c>
      <c r="G15" s="38" t="s">
        <v>137</v>
      </c>
      <c r="H15" s="219" t="s">
        <v>145</v>
      </c>
      <c r="I15" s="38" t="s">
        <v>175</v>
      </c>
      <c r="J15" s="470" t="s">
        <v>176</v>
      </c>
      <c r="K15" s="155"/>
      <c r="L15" s="35" t="s">
        <v>137</v>
      </c>
      <c r="M15" s="65" t="s">
        <v>177</v>
      </c>
      <c r="N15" s="67" t="s">
        <v>178</v>
      </c>
      <c r="O15" s="190" t="str">
        <f ca="1">HYPERLINK("#"&amp; CELL("address",INDEX([0]!lookup_data,MATCH(N15,[0]!lookup_data,0))),N15)</f>
        <v>SW Project Management Plan 
Note: Included in Safety Plan for safety products.</v>
      </c>
    </row>
    <row r="16" spans="1:15" ht="65" x14ac:dyDescent="0.35">
      <c r="A16" s="164"/>
      <c r="B16" s="465"/>
      <c r="C16" s="465"/>
      <c r="D16" s="465"/>
      <c r="E16" s="222" t="s">
        <v>179</v>
      </c>
      <c r="F16" s="224" t="s">
        <v>180</v>
      </c>
      <c r="G16" s="38" t="s">
        <v>137</v>
      </c>
      <c r="H16" s="219" t="s">
        <v>181</v>
      </c>
      <c r="I16" s="38" t="s">
        <v>182</v>
      </c>
      <c r="J16" s="470"/>
      <c r="K16" s="155"/>
      <c r="L16" s="35" t="s">
        <v>137</v>
      </c>
      <c r="M16" s="65" t="s">
        <v>183</v>
      </c>
      <c r="N16" s="69" t="s">
        <v>184</v>
      </c>
      <c r="O16" s="190" t="str">
        <f ca="1">HYPERLINK("#"&amp; CELL("address",INDEX([0]!lookup_data,MATCH(N16,[0]!lookup_data,0))),N16)</f>
        <v>SW Safety Case</v>
      </c>
    </row>
    <row r="17" spans="1:15" ht="43.5" customHeight="1" x14ac:dyDescent="0.35">
      <c r="A17" s="164"/>
      <c r="B17" s="465"/>
      <c r="C17" s="465"/>
      <c r="D17" s="465"/>
      <c r="E17" s="471" t="s">
        <v>185</v>
      </c>
      <c r="F17" s="482" t="s">
        <v>186</v>
      </c>
      <c r="G17" s="38" t="s">
        <v>137</v>
      </c>
      <c r="H17" s="39" t="s">
        <v>187</v>
      </c>
      <c r="I17" s="38" t="s">
        <v>188</v>
      </c>
      <c r="J17" s="470"/>
      <c r="K17" s="155"/>
      <c r="L17" s="35" t="s">
        <v>137</v>
      </c>
      <c r="M17" s="65" t="s">
        <v>189</v>
      </c>
      <c r="N17" s="69" t="s">
        <v>190</v>
      </c>
      <c r="O17" s="190" t="str">
        <f ca="1">HYPERLINK("#"&amp; CELL("address",INDEX([0]!lookup_data,MATCH(N17,[0]!lookup_data,0))),N17)</f>
        <v>SW ISO26262 Confirmation Reviews</v>
      </c>
    </row>
    <row r="18" spans="1:15" ht="65" hidden="1" x14ac:dyDescent="0.35">
      <c r="A18" s="164"/>
      <c r="B18" s="465"/>
      <c r="C18" s="465"/>
      <c r="D18" s="465"/>
      <c r="E18" s="471"/>
      <c r="F18" s="482"/>
      <c r="G18" s="38" t="s">
        <v>164</v>
      </c>
      <c r="H18" s="219" t="s">
        <v>191</v>
      </c>
      <c r="I18" s="38"/>
      <c r="J18" s="470"/>
      <c r="K18" s="155"/>
      <c r="L18" s="35" t="s">
        <v>164</v>
      </c>
      <c r="M18" s="65" t="s">
        <v>166</v>
      </c>
      <c r="N18" s="35"/>
      <c r="O18" s="35"/>
    </row>
    <row r="19" spans="1:15" ht="26" x14ac:dyDescent="0.35">
      <c r="A19" s="164"/>
      <c r="B19" s="465"/>
      <c r="C19" s="465"/>
      <c r="D19" s="465"/>
      <c r="E19" s="471"/>
      <c r="F19" s="482"/>
      <c r="G19" s="38" t="s">
        <v>137</v>
      </c>
      <c r="H19" s="39" t="s">
        <v>187</v>
      </c>
      <c r="I19" s="38" t="s">
        <v>192</v>
      </c>
      <c r="J19" s="470"/>
      <c r="K19" s="155"/>
      <c r="L19" s="35" t="str">
        <f>IF($H$2="ASIL A","No","Yes")</f>
        <v>Yes</v>
      </c>
      <c r="M19" s="65" t="s">
        <v>193</v>
      </c>
      <c r="N19" s="69" t="s">
        <v>190</v>
      </c>
      <c r="O19" s="190" t="str">
        <f ca="1">HYPERLINK("#"&amp; CELL("address",INDEX([0]!lookup_data,MATCH(N19,[0]!lookup_data,0))),N19)</f>
        <v>SW ISO26262 Confirmation Reviews</v>
      </c>
    </row>
    <row r="20" spans="1:15" ht="78" hidden="1" x14ac:dyDescent="0.35">
      <c r="A20" s="164"/>
      <c r="B20" s="465"/>
      <c r="C20" s="465"/>
      <c r="D20" s="465"/>
      <c r="E20" s="471"/>
      <c r="F20" s="482"/>
      <c r="G20" s="38" t="s">
        <v>164</v>
      </c>
      <c r="H20" s="219" t="s">
        <v>194</v>
      </c>
      <c r="I20" s="38"/>
      <c r="J20" s="470"/>
      <c r="K20" s="155"/>
      <c r="L20" s="35" t="s">
        <v>164</v>
      </c>
      <c r="M20" s="65" t="s">
        <v>166</v>
      </c>
      <c r="N20" s="35"/>
      <c r="O20" s="35"/>
    </row>
    <row r="21" spans="1:15" ht="36" customHeight="1" x14ac:dyDescent="0.35">
      <c r="A21" s="164"/>
      <c r="B21" s="465"/>
      <c r="C21" s="465"/>
      <c r="D21" s="465"/>
      <c r="E21" s="471"/>
      <c r="F21" s="482"/>
      <c r="G21" s="38" t="s">
        <v>137</v>
      </c>
      <c r="H21" s="39" t="s">
        <v>187</v>
      </c>
      <c r="I21" s="38" t="s">
        <v>195</v>
      </c>
      <c r="J21" s="470"/>
      <c r="K21" s="155"/>
      <c r="L21" s="35" t="s">
        <v>137</v>
      </c>
      <c r="M21" s="65" t="s">
        <v>196</v>
      </c>
      <c r="N21" s="69" t="s">
        <v>190</v>
      </c>
      <c r="O21" s="190" t="str">
        <f ca="1">HYPERLINK("#"&amp; CELL("address",INDEX([0]!lookup_data,MATCH(N21,[0]!lookup_data,0))),N21)</f>
        <v>SW ISO26262 Confirmation Reviews</v>
      </c>
    </row>
    <row r="22" spans="1:15" ht="78" hidden="1" x14ac:dyDescent="0.35">
      <c r="A22" s="164"/>
      <c r="B22" s="465"/>
      <c r="C22" s="465"/>
      <c r="D22" s="465"/>
      <c r="E22" s="471"/>
      <c r="F22" s="482"/>
      <c r="G22" s="38" t="s">
        <v>164</v>
      </c>
      <c r="H22" s="219" t="s">
        <v>197</v>
      </c>
      <c r="I22" s="38"/>
      <c r="J22" s="470"/>
      <c r="K22" s="155"/>
      <c r="L22" s="35" t="s">
        <v>164</v>
      </c>
      <c r="M22" s="65" t="s">
        <v>166</v>
      </c>
      <c r="N22" s="35"/>
      <c r="O22" s="35"/>
    </row>
    <row r="23" spans="1:15" ht="78" hidden="1" x14ac:dyDescent="0.35">
      <c r="A23" s="164"/>
      <c r="B23" s="465"/>
      <c r="C23" s="465"/>
      <c r="D23" s="465"/>
      <c r="E23" s="471"/>
      <c r="F23" s="482"/>
      <c r="G23" s="38" t="s">
        <v>164</v>
      </c>
      <c r="H23" s="219" t="s">
        <v>198</v>
      </c>
      <c r="I23" s="38"/>
      <c r="J23" s="470"/>
      <c r="K23" s="155"/>
      <c r="L23" s="35" t="s">
        <v>164</v>
      </c>
      <c r="M23" s="65" t="s">
        <v>166</v>
      </c>
      <c r="N23" s="35"/>
      <c r="O23" s="35"/>
    </row>
    <row r="24" spans="1:15" ht="26" x14ac:dyDescent="0.35">
      <c r="A24" s="164"/>
      <c r="B24" s="465"/>
      <c r="C24" s="465"/>
      <c r="D24" s="465"/>
      <c r="E24" s="471"/>
      <c r="F24" s="482"/>
      <c r="G24" s="38" t="s">
        <v>137</v>
      </c>
      <c r="H24" s="39" t="s">
        <v>187</v>
      </c>
      <c r="I24" s="38" t="s">
        <v>199</v>
      </c>
      <c r="J24" s="470"/>
      <c r="K24" s="155"/>
      <c r="L24" s="35" t="s">
        <v>137</v>
      </c>
      <c r="M24" s="65" t="s">
        <v>200</v>
      </c>
      <c r="N24" s="69" t="s">
        <v>190</v>
      </c>
      <c r="O24" s="190" t="str">
        <f ca="1">HYPERLINK("#"&amp; CELL("address",INDEX([0]!lookup_data,MATCH(N24,[0]!lookup_data,0))),N24)</f>
        <v>SW ISO26262 Confirmation Reviews</v>
      </c>
    </row>
    <row r="25" spans="1:15" ht="27" customHeight="1" x14ac:dyDescent="0.35">
      <c r="A25" s="164"/>
      <c r="B25" s="465"/>
      <c r="C25" s="465"/>
      <c r="D25" s="465"/>
      <c r="E25" s="471"/>
      <c r="F25" s="482"/>
      <c r="G25" s="38" t="s">
        <v>137</v>
      </c>
      <c r="H25" s="39" t="s">
        <v>187</v>
      </c>
      <c r="I25" s="38" t="s">
        <v>201</v>
      </c>
      <c r="J25" s="470"/>
      <c r="K25" s="155"/>
      <c r="L25" s="35" t="s">
        <v>137</v>
      </c>
      <c r="M25" s="65" t="s">
        <v>202</v>
      </c>
      <c r="N25" s="69" t="s">
        <v>190</v>
      </c>
      <c r="O25" s="190" t="str">
        <f ca="1">HYPERLINK("#"&amp; CELL("address",INDEX([0]!lookup_data,MATCH(N25,[0]!lookup_data,0))),N25)</f>
        <v>SW ISO26262 Confirmation Reviews</v>
      </c>
    </row>
    <row r="26" spans="1:15" ht="27" customHeight="1" x14ac:dyDescent="0.35">
      <c r="A26" s="164"/>
      <c r="B26" s="465"/>
      <c r="C26" s="465"/>
      <c r="D26" s="465"/>
      <c r="E26" s="471"/>
      <c r="F26" s="482"/>
      <c r="G26" s="38" t="str">
        <f>IF(OR($H$2="ASIL A",$H$2="ASIL B"),"No","Yes")</f>
        <v>Yes</v>
      </c>
      <c r="H26" s="219" t="str">
        <f>IF(OR($H$2="ASIL A",$H$2="ASIL B"),"Not required for ASIL A and B","Required for ASIL C &amp; D")</f>
        <v>Required for ASIL C &amp; D</v>
      </c>
      <c r="I26" s="38" t="s">
        <v>203</v>
      </c>
      <c r="J26" s="470"/>
      <c r="K26" s="155"/>
      <c r="L26" s="35" t="str">
        <f>IF($H$2="ASIL A","No","Yes")</f>
        <v>Yes</v>
      </c>
      <c r="M26" s="65" t="s">
        <v>204</v>
      </c>
      <c r="N26" s="69" t="s">
        <v>205</v>
      </c>
      <c r="O26" s="190" t="str">
        <f ca="1">HYPERLINK("#"&amp; CELL("address",INDEX([0]!lookup_data,MATCH(N26,[0]!lookup_data,0))),N26)</f>
        <v>SW Functional Safety Assessment Report -  not required for the current gate but as per the AMP SW Audit Plan.</v>
      </c>
    </row>
    <row r="27" spans="1:15" ht="27" customHeight="1" x14ac:dyDescent="0.35">
      <c r="A27" s="164"/>
      <c r="B27" s="465"/>
      <c r="C27" s="465"/>
      <c r="D27" s="465"/>
      <c r="E27" s="471"/>
      <c r="F27" s="482"/>
      <c r="G27" s="38" t="str">
        <f>IF(OR($H$2="ASIL A",$H$2="ASIL B"),"No","Yes")</f>
        <v>Yes</v>
      </c>
      <c r="H27" s="219" t="str">
        <f>IF(OR($H$2="ASIL A",$H$2="ASIL B"),"Not required for ASIL A and B","Required for ASIL C &amp; D")</f>
        <v>Required for ASIL C &amp; D</v>
      </c>
      <c r="I27" s="38" t="s">
        <v>206</v>
      </c>
      <c r="J27" s="470"/>
      <c r="K27" s="155"/>
      <c r="L27" s="35" t="str">
        <f>IF($H$2="ASIL A","No","Yes")</f>
        <v>Yes</v>
      </c>
      <c r="M27" s="65" t="s">
        <v>207</v>
      </c>
      <c r="N27" s="69" t="s">
        <v>208</v>
      </c>
      <c r="O27" s="190" t="str">
        <f ca="1">HYPERLINK("#"&amp; CELL("address",INDEX([0]!lookup_data,MATCH(N27,[0]!lookup_data,0))),N27)</f>
        <v>SW Functional Safety Audit Report (TUV SGS BU Auto Certification) - not required for the current gate but as per the AMP SW Audit Plan.</v>
      </c>
    </row>
    <row r="28" spans="1:15" ht="78" x14ac:dyDescent="0.35">
      <c r="A28" s="164"/>
      <c r="B28" s="465"/>
      <c r="C28" s="465"/>
      <c r="D28" s="465"/>
      <c r="E28" s="471"/>
      <c r="F28" s="482"/>
      <c r="G28" s="38" t="s">
        <v>137</v>
      </c>
      <c r="H28" s="219" t="s">
        <v>209</v>
      </c>
      <c r="I28" s="38" t="s">
        <v>210</v>
      </c>
      <c r="J28" s="470"/>
      <c r="K28" s="155"/>
      <c r="L28" s="218" t="str">
        <f>IF($H$2="ASIL A","No","Yes")</f>
        <v>Yes</v>
      </c>
      <c r="M28" s="65" t="s">
        <v>211</v>
      </c>
      <c r="N28" s="69" t="s">
        <v>208</v>
      </c>
      <c r="O28" s="190" t="str">
        <f ca="1">HYPERLINK("#"&amp; CELL("address",INDEX([0]!lookup_data,MATCH(N28,[0]!lookup_data,0))),N28)</f>
        <v>SW Functional Safety Audit Report (TUV SGS BU Auto Certification) - not required for the current gate but as per the AMP SW Audit Plan.</v>
      </c>
    </row>
    <row r="29" spans="1:15" ht="247" x14ac:dyDescent="0.35">
      <c r="A29" s="164"/>
      <c r="B29" s="465"/>
      <c r="C29" s="466"/>
      <c r="D29" s="466"/>
      <c r="E29" s="222" t="s">
        <v>212</v>
      </c>
      <c r="F29" s="172" t="s">
        <v>213</v>
      </c>
      <c r="G29" s="38" t="s">
        <v>137</v>
      </c>
      <c r="H29" s="219" t="s">
        <v>214</v>
      </c>
      <c r="I29" s="38" t="s">
        <v>215</v>
      </c>
      <c r="J29" s="219" t="s">
        <v>216</v>
      </c>
      <c r="K29" s="155"/>
      <c r="L29" s="35" t="s">
        <v>137</v>
      </c>
      <c r="M29" s="65" t="s">
        <v>217</v>
      </c>
      <c r="N29" s="69" t="s">
        <v>218</v>
      </c>
      <c r="O29" s="190" t="str">
        <f ca="1">HYPERLINK("#"&amp; CELL("address",INDEX([0]!lookup_data,MATCH(N29,[0]!lookup_data,0))),N29)</f>
        <v>Release Readiness Report (inc. check of acceptance criteria) - included in this document</v>
      </c>
    </row>
    <row r="30" spans="1:15" ht="104" x14ac:dyDescent="0.35">
      <c r="A30" s="164"/>
      <c r="B30" s="466"/>
      <c r="C30" s="173" t="s">
        <v>219</v>
      </c>
      <c r="D30" s="221" t="s">
        <v>220</v>
      </c>
      <c r="E30" s="222" t="s">
        <v>221</v>
      </c>
      <c r="F30" s="174" t="s">
        <v>222</v>
      </c>
      <c r="G30" s="38" t="s">
        <v>137</v>
      </c>
      <c r="H30" s="219" t="s">
        <v>223</v>
      </c>
      <c r="I30" s="38" t="s">
        <v>224</v>
      </c>
      <c r="J30" s="219" t="s">
        <v>225</v>
      </c>
      <c r="K30" s="155"/>
      <c r="L30" s="35" t="s">
        <v>137</v>
      </c>
      <c r="M30" s="65" t="s">
        <v>226</v>
      </c>
      <c r="N30" s="67" t="s">
        <v>142</v>
      </c>
      <c r="O30" s="190" t="str">
        <f ca="1">HYPERLINK("#"&amp; CELL("address",INDEX([0]!lookup_data,MATCH(N30,[0]!lookup_data,0))),N30)</f>
        <v>AP SW Process</v>
      </c>
    </row>
    <row r="31" spans="1:15" ht="24" hidden="1" customHeight="1" x14ac:dyDescent="0.35">
      <c r="A31" s="164"/>
      <c r="B31" s="175"/>
      <c r="C31" s="176"/>
      <c r="D31" s="175"/>
      <c r="E31" s="177"/>
      <c r="F31" s="178"/>
      <c r="G31" s="179"/>
      <c r="H31" s="179"/>
      <c r="I31" s="179"/>
      <c r="J31" s="175"/>
      <c r="K31" s="163"/>
      <c r="L31" s="180"/>
      <c r="M31" s="163"/>
      <c r="N31" s="180"/>
      <c r="O31" s="180"/>
    </row>
    <row r="32" spans="1:15" ht="156" hidden="1" x14ac:dyDescent="0.35">
      <c r="A32" s="164"/>
      <c r="B32" s="483" t="s">
        <v>227</v>
      </c>
      <c r="C32" s="181" t="s">
        <v>228</v>
      </c>
      <c r="D32" s="221" t="s">
        <v>229</v>
      </c>
      <c r="E32" s="222" t="s">
        <v>230</v>
      </c>
      <c r="F32" s="166" t="s">
        <v>231</v>
      </c>
      <c r="G32" s="38" t="s">
        <v>164</v>
      </c>
      <c r="H32" s="219" t="s">
        <v>165</v>
      </c>
      <c r="I32" s="38"/>
      <c r="J32" s="219" t="s">
        <v>165</v>
      </c>
      <c r="K32" s="155"/>
      <c r="L32" s="35" t="s">
        <v>164</v>
      </c>
      <c r="M32" s="65" t="s">
        <v>166</v>
      </c>
      <c r="N32" s="35"/>
      <c r="O32" s="35"/>
    </row>
    <row r="33" spans="1:15" ht="65" hidden="1" x14ac:dyDescent="0.35">
      <c r="A33" s="164"/>
      <c r="B33" s="484"/>
      <c r="C33" s="479" t="s">
        <v>232</v>
      </c>
      <c r="D33" s="481" t="s">
        <v>233</v>
      </c>
      <c r="E33" s="222" t="s">
        <v>234</v>
      </c>
      <c r="F33" s="166" t="s">
        <v>235</v>
      </c>
      <c r="G33" s="38" t="s">
        <v>164</v>
      </c>
      <c r="H33" s="219" t="s">
        <v>165</v>
      </c>
      <c r="I33" s="38"/>
      <c r="J33" s="219" t="s">
        <v>165</v>
      </c>
      <c r="K33" s="155"/>
      <c r="L33" s="35" t="s">
        <v>164</v>
      </c>
      <c r="M33" s="65" t="s">
        <v>166</v>
      </c>
      <c r="N33" s="35"/>
      <c r="O33" s="35"/>
    </row>
    <row r="34" spans="1:15" ht="65" hidden="1" x14ac:dyDescent="0.35">
      <c r="A34" s="164"/>
      <c r="B34" s="484"/>
      <c r="C34" s="480"/>
      <c r="D34" s="481"/>
      <c r="E34" s="222" t="s">
        <v>236</v>
      </c>
      <c r="F34" s="166" t="s">
        <v>237</v>
      </c>
      <c r="G34" s="38" t="s">
        <v>164</v>
      </c>
      <c r="H34" s="219" t="s">
        <v>165</v>
      </c>
      <c r="I34" s="38"/>
      <c r="J34" s="219" t="s">
        <v>165</v>
      </c>
      <c r="K34" s="155"/>
      <c r="L34" s="35" t="s">
        <v>164</v>
      </c>
      <c r="M34" s="65" t="s">
        <v>166</v>
      </c>
      <c r="N34" s="35"/>
      <c r="O34" s="35"/>
    </row>
    <row r="35" spans="1:15" ht="65" hidden="1" x14ac:dyDescent="0.35">
      <c r="A35" s="164"/>
      <c r="B35" s="484"/>
      <c r="C35" s="479" t="s">
        <v>238</v>
      </c>
      <c r="D35" s="481" t="s">
        <v>239</v>
      </c>
      <c r="E35" s="222" t="s">
        <v>240</v>
      </c>
      <c r="F35" s="166" t="s">
        <v>241</v>
      </c>
      <c r="G35" s="38" t="s">
        <v>164</v>
      </c>
      <c r="H35" s="219" t="s">
        <v>165</v>
      </c>
      <c r="I35" s="38"/>
      <c r="J35" s="219" t="s">
        <v>165</v>
      </c>
      <c r="K35" s="155"/>
      <c r="L35" s="35" t="s">
        <v>164</v>
      </c>
      <c r="M35" s="65" t="s">
        <v>166</v>
      </c>
      <c r="N35" s="35"/>
      <c r="O35" s="35"/>
    </row>
    <row r="36" spans="1:15" ht="65" hidden="1" x14ac:dyDescent="0.35">
      <c r="A36" s="164"/>
      <c r="B36" s="485"/>
      <c r="C36" s="480"/>
      <c r="D36" s="481"/>
      <c r="E36" s="222" t="s">
        <v>242</v>
      </c>
      <c r="F36" s="174" t="s">
        <v>243</v>
      </c>
      <c r="G36" s="38" t="s">
        <v>164</v>
      </c>
      <c r="H36" s="219" t="s">
        <v>165</v>
      </c>
      <c r="I36" s="38"/>
      <c r="J36" s="219" t="s">
        <v>165</v>
      </c>
      <c r="K36" s="155"/>
      <c r="L36" s="35" t="s">
        <v>164</v>
      </c>
      <c r="M36" s="65" t="s">
        <v>166</v>
      </c>
      <c r="N36" s="35"/>
      <c r="O36" s="35"/>
    </row>
    <row r="37" spans="1:15" hidden="1" x14ac:dyDescent="0.35">
      <c r="A37" s="164"/>
      <c r="B37" s="182"/>
      <c r="C37" s="176"/>
      <c r="D37" s="175"/>
      <c r="E37" s="177"/>
      <c r="F37" s="183"/>
      <c r="G37" s="179"/>
      <c r="H37" s="179"/>
      <c r="I37" s="179"/>
      <c r="J37" s="175"/>
      <c r="K37" s="163"/>
      <c r="L37" s="180"/>
      <c r="M37" s="163"/>
      <c r="N37" s="180"/>
      <c r="O37" s="180"/>
    </row>
    <row r="38" spans="1:15" ht="90.9" hidden="1" customHeight="1" x14ac:dyDescent="0.35">
      <c r="A38" s="164"/>
      <c r="B38" s="465"/>
      <c r="C38" s="464" t="s">
        <v>244</v>
      </c>
      <c r="D38" s="464" t="s">
        <v>245</v>
      </c>
      <c r="E38" s="222" t="s">
        <v>246</v>
      </c>
      <c r="F38" s="224" t="s">
        <v>247</v>
      </c>
      <c r="G38" s="38" t="s">
        <v>137</v>
      </c>
      <c r="H38" s="219" t="s">
        <v>248</v>
      </c>
      <c r="I38" s="38" t="s">
        <v>249</v>
      </c>
      <c r="J38" s="220" t="s">
        <v>250</v>
      </c>
      <c r="K38" s="155"/>
      <c r="L38" s="35" t="s">
        <v>164</v>
      </c>
      <c r="M38" s="65" t="s">
        <v>251</v>
      </c>
      <c r="N38" s="35"/>
      <c r="O38" s="35"/>
    </row>
    <row r="39" spans="1:15" ht="104" x14ac:dyDescent="0.35">
      <c r="A39" s="164"/>
      <c r="B39" s="465"/>
      <c r="C39" s="465"/>
      <c r="D39" s="465"/>
      <c r="E39" s="222" t="s">
        <v>252</v>
      </c>
      <c r="F39" s="223" t="s">
        <v>253</v>
      </c>
      <c r="G39" s="38" t="s">
        <v>137</v>
      </c>
      <c r="H39" s="219" t="s">
        <v>254</v>
      </c>
      <c r="I39" s="38" t="s">
        <v>255</v>
      </c>
      <c r="J39" s="220" t="s">
        <v>256</v>
      </c>
      <c r="K39" s="155"/>
      <c r="L39" s="35" t="s">
        <v>137</v>
      </c>
      <c r="M39" s="65" t="s">
        <v>257</v>
      </c>
      <c r="N39" s="67" t="s">
        <v>258</v>
      </c>
      <c r="O39" s="190" t="str">
        <f ca="1">HYPERLINK("#"&amp; CELL("address",INDEX([0]!lookup_data,MATCH(N39,[0]!lookup_data,0))),N39)</f>
        <v>SW Safety Concept</v>
      </c>
    </row>
    <row r="40" spans="1:15" ht="65" hidden="1" x14ac:dyDescent="0.35">
      <c r="A40" s="164"/>
      <c r="B40" s="465"/>
      <c r="C40" s="465"/>
      <c r="D40" s="465"/>
      <c r="E40" s="222" t="s">
        <v>259</v>
      </c>
      <c r="F40" s="174" t="s">
        <v>260</v>
      </c>
      <c r="G40" s="38" t="s">
        <v>164</v>
      </c>
      <c r="H40" s="219" t="s">
        <v>165</v>
      </c>
      <c r="I40" s="38"/>
      <c r="J40" s="219" t="s">
        <v>165</v>
      </c>
      <c r="K40" s="155"/>
      <c r="L40" s="35" t="s">
        <v>164</v>
      </c>
      <c r="M40" s="65" t="s">
        <v>166</v>
      </c>
      <c r="N40" s="35"/>
      <c r="O40" s="35"/>
    </row>
    <row r="41" spans="1:15" ht="130" hidden="1" x14ac:dyDescent="0.35">
      <c r="A41" s="164"/>
      <c r="B41" s="465"/>
      <c r="C41" s="465"/>
      <c r="D41" s="465"/>
      <c r="E41" s="222" t="s">
        <v>261</v>
      </c>
      <c r="F41" s="174" t="s">
        <v>262</v>
      </c>
      <c r="G41" s="38" t="s">
        <v>164</v>
      </c>
      <c r="H41" s="219" t="s">
        <v>263</v>
      </c>
      <c r="I41" s="38"/>
      <c r="J41" s="219" t="s">
        <v>165</v>
      </c>
      <c r="K41" s="155"/>
      <c r="L41" s="35" t="s">
        <v>164</v>
      </c>
      <c r="M41" s="65" t="s">
        <v>166</v>
      </c>
      <c r="N41" s="35"/>
      <c r="O41" s="35"/>
    </row>
    <row r="42" spans="1:15" ht="65" hidden="1" x14ac:dyDescent="0.35">
      <c r="A42" s="164"/>
      <c r="B42" s="465"/>
      <c r="C42" s="465"/>
      <c r="D42" s="465"/>
      <c r="E42" s="222" t="s">
        <v>264</v>
      </c>
      <c r="F42" s="174" t="s">
        <v>265</v>
      </c>
      <c r="G42" s="38" t="s">
        <v>164</v>
      </c>
      <c r="H42" s="219" t="s">
        <v>165</v>
      </c>
      <c r="I42" s="38"/>
      <c r="J42" s="219" t="s">
        <v>165</v>
      </c>
      <c r="K42" s="155"/>
      <c r="L42" s="35" t="s">
        <v>164</v>
      </c>
      <c r="M42" s="65" t="s">
        <v>166</v>
      </c>
      <c r="N42" s="35"/>
      <c r="O42" s="35"/>
    </row>
    <row r="43" spans="1:15" ht="104" hidden="1" x14ac:dyDescent="0.35">
      <c r="A43" s="164"/>
      <c r="B43" s="465"/>
      <c r="C43" s="465"/>
      <c r="D43" s="465"/>
      <c r="E43" s="222" t="s">
        <v>266</v>
      </c>
      <c r="F43" s="174" t="s">
        <v>267</v>
      </c>
      <c r="G43" s="38" t="s">
        <v>137</v>
      </c>
      <c r="H43" s="219" t="s">
        <v>268</v>
      </c>
      <c r="I43" s="38" t="s">
        <v>269</v>
      </c>
      <c r="J43" s="219" t="s">
        <v>270</v>
      </c>
      <c r="K43" s="155"/>
      <c r="L43" s="35" t="s">
        <v>164</v>
      </c>
      <c r="M43" s="65" t="s">
        <v>251</v>
      </c>
      <c r="N43" s="35"/>
      <c r="O43" s="35"/>
    </row>
    <row r="44" spans="1:15" ht="65" hidden="1" x14ac:dyDescent="0.35">
      <c r="A44" s="164"/>
      <c r="B44" s="465"/>
      <c r="C44" s="466"/>
      <c r="D44" s="466"/>
      <c r="E44" s="222" t="s">
        <v>271</v>
      </c>
      <c r="F44" s="174" t="s">
        <v>272</v>
      </c>
      <c r="G44" s="38" t="s">
        <v>164</v>
      </c>
      <c r="H44" s="219" t="s">
        <v>165</v>
      </c>
      <c r="I44" s="38"/>
      <c r="J44" s="219" t="s">
        <v>165</v>
      </c>
      <c r="K44" s="155"/>
      <c r="L44" s="35" t="s">
        <v>164</v>
      </c>
      <c r="M44" s="65" t="s">
        <v>166</v>
      </c>
      <c r="N44" s="35"/>
      <c r="O44" s="35"/>
    </row>
    <row r="45" spans="1:15" ht="65" hidden="1" x14ac:dyDescent="0.35">
      <c r="A45" s="164"/>
      <c r="B45" s="465"/>
      <c r="C45" s="479" t="s">
        <v>273</v>
      </c>
      <c r="D45" s="481" t="s">
        <v>274</v>
      </c>
      <c r="E45" s="222" t="s">
        <v>275</v>
      </c>
      <c r="F45" s="174" t="s">
        <v>276</v>
      </c>
      <c r="G45" s="38" t="s">
        <v>164</v>
      </c>
      <c r="H45" s="219" t="s">
        <v>165</v>
      </c>
      <c r="I45" s="38"/>
      <c r="J45" s="219" t="s">
        <v>165</v>
      </c>
      <c r="K45" s="155"/>
      <c r="L45" s="35" t="s">
        <v>164</v>
      </c>
      <c r="M45" s="65" t="s">
        <v>166</v>
      </c>
      <c r="N45" s="35"/>
      <c r="O45" s="35"/>
    </row>
    <row r="46" spans="1:15" ht="65" hidden="1" x14ac:dyDescent="0.35">
      <c r="A46" s="164"/>
      <c r="B46" s="465"/>
      <c r="C46" s="480"/>
      <c r="D46" s="481"/>
      <c r="E46" s="222" t="s">
        <v>277</v>
      </c>
      <c r="F46" s="174" t="s">
        <v>278</v>
      </c>
      <c r="G46" s="38" t="s">
        <v>164</v>
      </c>
      <c r="H46" s="219" t="s">
        <v>165</v>
      </c>
      <c r="I46" s="38"/>
      <c r="J46" s="219" t="s">
        <v>165</v>
      </c>
      <c r="K46" s="155"/>
      <c r="L46" s="35" t="s">
        <v>164</v>
      </c>
      <c r="M46" s="65" t="s">
        <v>166</v>
      </c>
      <c r="N46" s="35"/>
      <c r="O46" s="35"/>
    </row>
    <row r="47" spans="1:15" ht="65" hidden="1" x14ac:dyDescent="0.35">
      <c r="A47" s="164"/>
      <c r="B47" s="465"/>
      <c r="C47" s="479" t="s">
        <v>279</v>
      </c>
      <c r="D47" s="481" t="s">
        <v>280</v>
      </c>
      <c r="E47" s="222" t="s">
        <v>281</v>
      </c>
      <c r="F47" s="174" t="s">
        <v>282</v>
      </c>
      <c r="G47" s="38" t="s">
        <v>164</v>
      </c>
      <c r="H47" s="219" t="s">
        <v>165</v>
      </c>
      <c r="I47" s="38"/>
      <c r="J47" s="219" t="s">
        <v>165</v>
      </c>
      <c r="K47" s="155"/>
      <c r="L47" s="35" t="s">
        <v>164</v>
      </c>
      <c r="M47" s="65" t="s">
        <v>166</v>
      </c>
      <c r="N47" s="35"/>
      <c r="O47" s="35"/>
    </row>
    <row r="48" spans="1:15" ht="65" hidden="1" x14ac:dyDescent="0.35">
      <c r="A48" s="164"/>
      <c r="B48" s="465"/>
      <c r="C48" s="480"/>
      <c r="D48" s="481"/>
      <c r="E48" s="222" t="s">
        <v>283</v>
      </c>
      <c r="F48" s="174" t="s">
        <v>284</v>
      </c>
      <c r="G48" s="38" t="s">
        <v>164</v>
      </c>
      <c r="H48" s="219" t="s">
        <v>165</v>
      </c>
      <c r="I48" s="38"/>
      <c r="J48" s="219" t="s">
        <v>165</v>
      </c>
      <c r="K48" s="155"/>
      <c r="L48" s="35" t="s">
        <v>164</v>
      </c>
      <c r="M48" s="65" t="s">
        <v>166</v>
      </c>
      <c r="N48" s="35"/>
      <c r="O48" s="35"/>
    </row>
    <row r="49" spans="1:15" hidden="1" x14ac:dyDescent="0.35">
      <c r="A49" s="164"/>
      <c r="B49" s="182"/>
      <c r="C49" s="176"/>
      <c r="D49" s="175"/>
      <c r="E49" s="177"/>
      <c r="F49" s="183"/>
      <c r="G49" s="179"/>
      <c r="H49" s="179"/>
      <c r="I49" s="179"/>
      <c r="J49" s="175"/>
      <c r="K49" s="163"/>
      <c r="L49" s="180"/>
      <c r="M49" s="163"/>
      <c r="N49" s="180"/>
      <c r="O49" s="180"/>
    </row>
    <row r="50" spans="1:15" ht="105.9" hidden="1" customHeight="1" x14ac:dyDescent="0.35">
      <c r="A50" s="164"/>
      <c r="B50" s="465"/>
      <c r="C50" s="479" t="s">
        <v>285</v>
      </c>
      <c r="D50" s="481" t="s">
        <v>286</v>
      </c>
      <c r="E50" s="222" t="s">
        <v>287</v>
      </c>
      <c r="F50" s="224" t="s">
        <v>288</v>
      </c>
      <c r="G50" s="38" t="str">
        <f t="shared" ref="G50:G60" si="0">IF($H$1="SW","No","Yes")</f>
        <v>No</v>
      </c>
      <c r="H50" s="219" t="str">
        <f>IF($H$1="SW","No HW development, scope is for SW SEooC only","Defines the detailed safety requirements for the HW  component, derived from the Safety Concept.")</f>
        <v>No HW development, scope is for SW SEooC only</v>
      </c>
      <c r="I50" s="38" t="s">
        <v>289</v>
      </c>
      <c r="J50" s="470" t="s">
        <v>290</v>
      </c>
      <c r="K50" s="155"/>
      <c r="L50" s="35" t="s">
        <v>164</v>
      </c>
      <c r="M50" s="65" t="s">
        <v>166</v>
      </c>
      <c r="N50" s="35"/>
      <c r="O50" s="35"/>
    </row>
    <row r="51" spans="1:15" ht="143" hidden="1" x14ac:dyDescent="0.35">
      <c r="A51" s="164"/>
      <c r="B51" s="465"/>
      <c r="C51" s="489"/>
      <c r="D51" s="481"/>
      <c r="E51" s="222" t="s">
        <v>291</v>
      </c>
      <c r="F51" s="166" t="s">
        <v>292</v>
      </c>
      <c r="G51" s="38" t="str">
        <f t="shared" si="0"/>
        <v>No</v>
      </c>
      <c r="H51" s="219" t="s">
        <v>293</v>
      </c>
      <c r="I51" s="38" t="s">
        <v>294</v>
      </c>
      <c r="J51" s="470"/>
      <c r="K51" s="155"/>
      <c r="L51" s="35" t="s">
        <v>164</v>
      </c>
      <c r="M51" s="65" t="s">
        <v>251</v>
      </c>
      <c r="N51" s="35"/>
      <c r="O51" s="35"/>
    </row>
    <row r="52" spans="1:15" ht="90.65" hidden="1" customHeight="1" x14ac:dyDescent="0.35">
      <c r="A52" s="164"/>
      <c r="B52" s="465"/>
      <c r="C52" s="480"/>
      <c r="D52" s="481"/>
      <c r="E52" s="222" t="s">
        <v>295</v>
      </c>
      <c r="F52" s="166" t="s">
        <v>296</v>
      </c>
      <c r="G52" s="38" t="str">
        <f t="shared" si="0"/>
        <v>No</v>
      </c>
      <c r="H52" s="219" t="str">
        <f>IF($H$1="SW","No HW development, scope is for SW SEooC only","Review of HW component safety requirements and system level assumptions")</f>
        <v>No HW development, scope is for SW SEooC only</v>
      </c>
      <c r="I52" s="38" t="s">
        <v>297</v>
      </c>
      <c r="J52" s="470"/>
      <c r="K52" s="155"/>
      <c r="L52" s="35" t="s">
        <v>164</v>
      </c>
      <c r="M52" s="65" t="s">
        <v>166</v>
      </c>
      <c r="N52" s="35"/>
      <c r="O52" s="35"/>
    </row>
    <row r="53" spans="1:15" ht="90.65" hidden="1" customHeight="1" x14ac:dyDescent="0.35">
      <c r="A53" s="164"/>
      <c r="B53" s="465"/>
      <c r="C53" s="479" t="s">
        <v>298</v>
      </c>
      <c r="D53" s="481" t="s">
        <v>299</v>
      </c>
      <c r="E53" s="471" t="s">
        <v>300</v>
      </c>
      <c r="F53" s="486" t="s">
        <v>301</v>
      </c>
      <c r="G53" s="38" t="str">
        <f t="shared" si="0"/>
        <v>No</v>
      </c>
      <c r="H53" s="219" t="str">
        <f>IF($H$1="SW","No HW development, scope is for SW SEooC only","Standard Automotive design specifications for HW component (i.e. not system or item) - with the addition of safety requirements traceability")</f>
        <v>No HW development, scope is for SW SEooC only</v>
      </c>
      <c r="I53" s="38" t="s">
        <v>302</v>
      </c>
      <c r="J53" s="470" t="s">
        <v>303</v>
      </c>
      <c r="K53" s="155"/>
      <c r="L53" s="35" t="s">
        <v>164</v>
      </c>
      <c r="M53" s="65" t="s">
        <v>166</v>
      </c>
      <c r="N53" s="35"/>
      <c r="O53" s="35"/>
    </row>
    <row r="54" spans="1:15" ht="90.65" hidden="1" customHeight="1" x14ac:dyDescent="0.35">
      <c r="A54" s="164"/>
      <c r="B54" s="465"/>
      <c r="C54" s="489"/>
      <c r="D54" s="481"/>
      <c r="E54" s="471"/>
      <c r="F54" s="486"/>
      <c r="G54" s="38" t="str">
        <f t="shared" si="0"/>
        <v>No</v>
      </c>
      <c r="H54" s="219" t="str">
        <f>IF($H$1="SW","No HW development, scope is for SW SEooC only","Standard Automotive design specifications for HW component (i.e. not system or item) - with the addition of safety requirements traceability")</f>
        <v>No HW development, scope is for SW SEooC only</v>
      </c>
      <c r="I54" s="38" t="s">
        <v>304</v>
      </c>
      <c r="J54" s="470"/>
      <c r="K54" s="155"/>
      <c r="L54" s="35" t="s">
        <v>164</v>
      </c>
      <c r="M54" s="65" t="s">
        <v>166</v>
      </c>
      <c r="N54" s="35"/>
      <c r="O54" s="35"/>
    </row>
    <row r="55" spans="1:15" ht="90.65" hidden="1" customHeight="1" x14ac:dyDescent="0.35">
      <c r="A55" s="164"/>
      <c r="B55" s="465"/>
      <c r="C55" s="489"/>
      <c r="D55" s="481"/>
      <c r="E55" s="471"/>
      <c r="F55" s="486"/>
      <c r="G55" s="38" t="str">
        <f t="shared" si="0"/>
        <v>No</v>
      </c>
      <c r="H55" s="219" t="str">
        <f>IF($H$1="SW","No HW development, scope is for SW SEooC only","Standard Automotive design specifications for HW component (i.e. not system or item) - with the addition of safety requirements traceability")</f>
        <v>No HW development, scope is for SW SEooC only</v>
      </c>
      <c r="I55" s="38" t="s">
        <v>305</v>
      </c>
      <c r="J55" s="470"/>
      <c r="K55" s="155"/>
      <c r="L55" s="35" t="s">
        <v>164</v>
      </c>
      <c r="M55" s="65" t="s">
        <v>166</v>
      </c>
      <c r="N55" s="35"/>
      <c r="O55" s="35"/>
    </row>
    <row r="56" spans="1:15" ht="90.65" hidden="1" customHeight="1" x14ac:dyDescent="0.35">
      <c r="A56" s="164"/>
      <c r="B56" s="465"/>
      <c r="C56" s="489"/>
      <c r="D56" s="481"/>
      <c r="E56" s="471"/>
      <c r="F56" s="486"/>
      <c r="G56" s="38" t="str">
        <f t="shared" si="0"/>
        <v>No</v>
      </c>
      <c r="H56" s="219" t="str">
        <f>IF($H$1="SW","No HW development, scope is for SW SEooC only","Standard Automotive design specifications for HW component (i.e. not system or item) - with the addition of safety requirements traceability")</f>
        <v>No HW development, scope is for SW SEooC only</v>
      </c>
      <c r="I56" s="38" t="s">
        <v>306</v>
      </c>
      <c r="J56" s="470"/>
      <c r="K56" s="155"/>
      <c r="L56" s="35" t="s">
        <v>164</v>
      </c>
      <c r="M56" s="65" t="s">
        <v>166</v>
      </c>
      <c r="N56" s="35"/>
      <c r="O56" s="35"/>
    </row>
    <row r="57" spans="1:15" ht="90.65" hidden="1" customHeight="1" x14ac:dyDescent="0.35">
      <c r="A57" s="164"/>
      <c r="B57" s="465"/>
      <c r="C57" s="489"/>
      <c r="D57" s="481"/>
      <c r="E57" s="471" t="s">
        <v>307</v>
      </c>
      <c r="F57" s="486" t="s">
        <v>308</v>
      </c>
      <c r="G57" s="38" t="str">
        <f t="shared" si="0"/>
        <v>No</v>
      </c>
      <c r="H57" s="219" t="str">
        <f>IF($H$1="SW","No HW development, scope is for SW SEooC only","Analysis done on HW component level (i.e. not item or system)")</f>
        <v>No HW development, scope is for SW SEooC only</v>
      </c>
      <c r="I57" s="38" t="s">
        <v>309</v>
      </c>
      <c r="J57" s="470"/>
      <c r="K57" s="155"/>
      <c r="L57" s="35" t="s">
        <v>164</v>
      </c>
      <c r="M57" s="65" t="s">
        <v>166</v>
      </c>
      <c r="N57" s="35"/>
      <c r="O57" s="35"/>
    </row>
    <row r="58" spans="1:15" ht="90.65" hidden="1" customHeight="1" x14ac:dyDescent="0.35">
      <c r="A58" s="164"/>
      <c r="B58" s="465"/>
      <c r="C58" s="489"/>
      <c r="D58" s="481"/>
      <c r="E58" s="471"/>
      <c r="F58" s="486"/>
      <c r="G58" s="38" t="str">
        <f t="shared" si="0"/>
        <v>No</v>
      </c>
      <c r="H58" s="219" t="str">
        <f>IF($H$1="SW","No HW development, scope is for SW SEooC only","Analysis done on HW component level (i.e. not item or system)")</f>
        <v>No HW development, scope is for SW SEooC only</v>
      </c>
      <c r="I58" s="38" t="s">
        <v>310</v>
      </c>
      <c r="J58" s="470"/>
      <c r="K58" s="155"/>
      <c r="L58" s="35" t="s">
        <v>164</v>
      </c>
      <c r="M58" s="65" t="s">
        <v>166</v>
      </c>
      <c r="N58" s="35"/>
      <c r="O58" s="35"/>
    </row>
    <row r="59" spans="1:15" ht="90.65" hidden="1" customHeight="1" x14ac:dyDescent="0.35">
      <c r="A59" s="164"/>
      <c r="B59" s="465"/>
      <c r="C59" s="489"/>
      <c r="D59" s="481"/>
      <c r="E59" s="471"/>
      <c r="F59" s="486"/>
      <c r="G59" s="38" t="str">
        <f t="shared" si="0"/>
        <v>No</v>
      </c>
      <c r="H59" s="219" t="str">
        <f>IF($H$1="SW","No HW development, scope is for SW SEooC only","Analysis done on HW component level (i.e. not item or system)")</f>
        <v>No HW development, scope is for SW SEooC only</v>
      </c>
      <c r="I59" s="38" t="s">
        <v>311</v>
      </c>
      <c r="J59" s="470"/>
      <c r="K59" s="155"/>
      <c r="L59" s="35" t="s">
        <v>164</v>
      </c>
      <c r="M59" s="65" t="s">
        <v>166</v>
      </c>
      <c r="N59" s="35"/>
      <c r="O59" s="35"/>
    </row>
    <row r="60" spans="1:15" ht="26" hidden="1" x14ac:dyDescent="0.35">
      <c r="A60" s="164"/>
      <c r="B60" s="465"/>
      <c r="C60" s="489"/>
      <c r="D60" s="481"/>
      <c r="E60" s="222" t="s">
        <v>312</v>
      </c>
      <c r="F60" s="224" t="s">
        <v>313</v>
      </c>
      <c r="G60" s="38" t="str">
        <f t="shared" si="0"/>
        <v>No</v>
      </c>
      <c r="H60" s="219" t="str">
        <f>IF($H$1="SW","No HW development, scope is for SW SEooC only","Standard Automotive verification of HW component - with the addition of fault injection during simulation and the review of physical layout information with regards to safety requirements, as well as safety requirements traceability")</f>
        <v>No HW development, scope is for SW SEooC only</v>
      </c>
      <c r="I60" s="38" t="s">
        <v>314</v>
      </c>
      <c r="J60" s="470"/>
      <c r="K60" s="34"/>
      <c r="L60" s="35" t="s">
        <v>164</v>
      </c>
      <c r="M60" s="65" t="s">
        <v>166</v>
      </c>
      <c r="N60" s="35"/>
      <c r="O60" s="35"/>
    </row>
    <row r="61" spans="1:15" ht="90.65" hidden="1" customHeight="1" x14ac:dyDescent="0.35">
      <c r="A61" s="164"/>
      <c r="B61" s="465"/>
      <c r="C61" s="480"/>
      <c r="D61" s="481"/>
      <c r="E61" s="222" t="s">
        <v>315</v>
      </c>
      <c r="F61" s="174" t="s">
        <v>316</v>
      </c>
      <c r="G61" s="38" t="str">
        <f t="shared" ref="G61:G71" si="1">IF($H$1="SW","No","Yes")</f>
        <v>No</v>
      </c>
      <c r="H61" s="219" t="str">
        <f>IF($H$1="SW","No HW development, scope is for SW SEooC only","Standard Automotive production process for HW component - No specific safety requirements")</f>
        <v>No HW development, scope is for SW SEooC only</v>
      </c>
      <c r="I61" s="38" t="s">
        <v>317</v>
      </c>
      <c r="J61" s="470"/>
      <c r="K61" s="155"/>
      <c r="L61" s="35" t="s">
        <v>164</v>
      </c>
      <c r="M61" s="65" t="s">
        <v>166</v>
      </c>
      <c r="N61" s="35"/>
      <c r="O61" s="35"/>
    </row>
    <row r="62" spans="1:15" ht="83.4" hidden="1" customHeight="1" x14ac:dyDescent="0.35">
      <c r="A62" s="164"/>
      <c r="B62" s="465"/>
      <c r="C62" s="479" t="s">
        <v>318</v>
      </c>
      <c r="D62" s="481" t="s">
        <v>319</v>
      </c>
      <c r="E62" s="222" t="s">
        <v>320</v>
      </c>
      <c r="F62" s="174" t="s">
        <v>321</v>
      </c>
      <c r="G62" s="38" t="str">
        <f t="shared" si="1"/>
        <v>No</v>
      </c>
      <c r="H62" s="219" t="str">
        <f>IF($H$1="SW","No HW development, scope is for SW SEooC only","Analysis done on HW component level (i.e. not item or system)")</f>
        <v>No HW development, scope is for SW SEooC only</v>
      </c>
      <c r="I62" s="38" t="s">
        <v>322</v>
      </c>
      <c r="J62" s="487" t="s">
        <v>323</v>
      </c>
      <c r="K62" s="155"/>
      <c r="L62" s="35" t="s">
        <v>164</v>
      </c>
      <c r="M62" s="65" t="s">
        <v>166</v>
      </c>
      <c r="N62" s="35"/>
      <c r="O62" s="35"/>
    </row>
    <row r="63" spans="1:15" ht="83.4" hidden="1" customHeight="1" x14ac:dyDescent="0.35">
      <c r="A63" s="164"/>
      <c r="B63" s="465"/>
      <c r="C63" s="480"/>
      <c r="D63" s="481"/>
      <c r="E63" s="222" t="s">
        <v>324</v>
      </c>
      <c r="F63" s="223" t="s">
        <v>325</v>
      </c>
      <c r="G63" s="38" t="str">
        <f t="shared" si="1"/>
        <v>No</v>
      </c>
      <c r="H63" s="219" t="str">
        <f>IF($H$1="SW","No HW development, scope is for SW SEooC only","Review of analysis done on HW component level (i.e. not item or system)")</f>
        <v>No HW development, scope is for SW SEooC only</v>
      </c>
      <c r="I63" s="38" t="s">
        <v>326</v>
      </c>
      <c r="J63" s="488"/>
      <c r="K63" s="155"/>
      <c r="L63" s="35" t="s">
        <v>164</v>
      </c>
      <c r="M63" s="65" t="s">
        <v>166</v>
      </c>
      <c r="N63" s="35"/>
      <c r="O63" s="35"/>
    </row>
    <row r="64" spans="1:15" ht="83.4" hidden="1" customHeight="1" x14ac:dyDescent="0.35">
      <c r="A64" s="164"/>
      <c r="B64" s="465"/>
      <c r="C64" s="479" t="s">
        <v>327</v>
      </c>
      <c r="D64" s="481" t="s">
        <v>328</v>
      </c>
      <c r="E64" s="222" t="s">
        <v>329</v>
      </c>
      <c r="F64" s="174" t="s">
        <v>330</v>
      </c>
      <c r="G64" s="38" t="str">
        <f t="shared" si="1"/>
        <v>No</v>
      </c>
      <c r="H64" s="219" t="str">
        <f>IF($H$1="SW","No HW development, scope is for SW SEooC only","Analysis done on HW component level (i.e. not item or system)")</f>
        <v>No HW development, scope is for SW SEooC only</v>
      </c>
      <c r="I64" s="38" t="s">
        <v>322</v>
      </c>
      <c r="J64" s="487" t="s">
        <v>331</v>
      </c>
      <c r="K64" s="34"/>
      <c r="L64" s="35" t="s">
        <v>164</v>
      </c>
      <c r="M64" s="65" t="s">
        <v>166</v>
      </c>
      <c r="N64" s="35"/>
      <c r="O64" s="35"/>
    </row>
    <row r="65" spans="1:15" ht="83.4" hidden="1" customHeight="1" x14ac:dyDescent="0.35">
      <c r="A65" s="164"/>
      <c r="B65" s="465"/>
      <c r="C65" s="489"/>
      <c r="D65" s="481"/>
      <c r="E65" s="222" t="s">
        <v>332</v>
      </c>
      <c r="F65" s="223" t="s">
        <v>333</v>
      </c>
      <c r="G65" s="38" t="str">
        <f t="shared" si="1"/>
        <v>No</v>
      </c>
      <c r="H65" s="219" t="str">
        <f>IF($H$1="SW","No HW development, scope is for SW SEooC only","Analysis done on HW component level (i.e. not item or system)")</f>
        <v>No HW development, scope is for SW SEooC only</v>
      </c>
      <c r="I65" s="38" t="s">
        <v>322</v>
      </c>
      <c r="J65" s="487"/>
      <c r="K65" s="34"/>
      <c r="L65" s="35" t="s">
        <v>164</v>
      </c>
      <c r="M65" s="65" t="s">
        <v>166</v>
      </c>
      <c r="N65" s="35"/>
      <c r="O65" s="35"/>
    </row>
    <row r="66" spans="1:15" ht="83.4" hidden="1" customHeight="1" x14ac:dyDescent="0.35">
      <c r="A66" s="164"/>
      <c r="B66" s="465"/>
      <c r="C66" s="480"/>
      <c r="D66" s="481"/>
      <c r="E66" s="222" t="s">
        <v>334</v>
      </c>
      <c r="F66" s="174" t="s">
        <v>335</v>
      </c>
      <c r="G66" s="38" t="str">
        <f t="shared" si="1"/>
        <v>No</v>
      </c>
      <c r="H66" s="219" t="str">
        <f>IF($H$1="SW","No HW development, scope is for SW SEooC only","Verification review of analysis done on HW component level (i.e. not item or system)")</f>
        <v>No HW development, scope is for SW SEooC only</v>
      </c>
      <c r="I66" s="38" t="s">
        <v>336</v>
      </c>
      <c r="J66" s="487"/>
      <c r="K66" s="34"/>
      <c r="L66" s="35" t="s">
        <v>164</v>
      </c>
      <c r="M66" s="65" t="s">
        <v>166</v>
      </c>
      <c r="N66" s="35"/>
      <c r="O66" s="35"/>
    </row>
    <row r="67" spans="1:15" ht="50.4" hidden="1" customHeight="1" x14ac:dyDescent="0.35">
      <c r="A67" s="164"/>
      <c r="B67" s="465"/>
      <c r="C67" s="464" t="s">
        <v>337</v>
      </c>
      <c r="D67" s="464" t="s">
        <v>338</v>
      </c>
      <c r="E67" s="471" t="s">
        <v>339</v>
      </c>
      <c r="F67" s="482" t="s">
        <v>340</v>
      </c>
      <c r="G67" s="496" t="str">
        <f t="shared" si="1"/>
        <v>No</v>
      </c>
      <c r="H67" s="490" t="str">
        <f>IF($H$1="SW","No HW development, scope is for SW SEooC only","Standard Automotive testing of HW component - with the addition of fault injection during silicon validation when feasible, as well as safety requirement traceability")</f>
        <v>No HW development, scope is for SW SEooC only</v>
      </c>
      <c r="I67" s="38" t="s">
        <v>341</v>
      </c>
      <c r="J67" s="490" t="s">
        <v>342</v>
      </c>
      <c r="K67" s="493"/>
      <c r="L67" s="35" t="s">
        <v>164</v>
      </c>
      <c r="M67" s="65" t="s">
        <v>166</v>
      </c>
      <c r="N67" s="35"/>
      <c r="O67" s="35"/>
    </row>
    <row r="68" spans="1:15" ht="50.4" hidden="1" customHeight="1" x14ac:dyDescent="0.35">
      <c r="A68" s="164"/>
      <c r="B68" s="465"/>
      <c r="C68" s="465"/>
      <c r="D68" s="465"/>
      <c r="E68" s="471"/>
      <c r="F68" s="482"/>
      <c r="G68" s="497"/>
      <c r="H68" s="491"/>
      <c r="I68" s="38" t="s">
        <v>343</v>
      </c>
      <c r="J68" s="491"/>
      <c r="K68" s="494"/>
      <c r="L68" s="35" t="s">
        <v>164</v>
      </c>
      <c r="M68" s="65" t="s">
        <v>166</v>
      </c>
      <c r="N68" s="35"/>
      <c r="O68" s="35"/>
    </row>
    <row r="69" spans="1:15" ht="50.4" hidden="1" customHeight="1" x14ac:dyDescent="0.35">
      <c r="A69" s="164"/>
      <c r="B69" s="465"/>
      <c r="C69" s="465"/>
      <c r="D69" s="465"/>
      <c r="E69" s="471"/>
      <c r="F69" s="482"/>
      <c r="G69" s="497"/>
      <c r="H69" s="491"/>
      <c r="I69" s="38" t="s">
        <v>344</v>
      </c>
      <c r="J69" s="491"/>
      <c r="K69" s="494"/>
      <c r="L69" s="35" t="s">
        <v>164</v>
      </c>
      <c r="M69" s="65" t="s">
        <v>166</v>
      </c>
      <c r="N69" s="35"/>
      <c r="O69" s="35"/>
    </row>
    <row r="70" spans="1:15" ht="50.4" hidden="1" customHeight="1" x14ac:dyDescent="0.35">
      <c r="A70" s="164"/>
      <c r="B70" s="465"/>
      <c r="C70" s="465"/>
      <c r="D70" s="465"/>
      <c r="E70" s="471"/>
      <c r="F70" s="482"/>
      <c r="G70" s="498"/>
      <c r="H70" s="492"/>
      <c r="I70" s="38" t="s">
        <v>345</v>
      </c>
      <c r="J70" s="491"/>
      <c r="K70" s="495"/>
      <c r="L70" s="35" t="s">
        <v>164</v>
      </c>
      <c r="M70" s="65" t="s">
        <v>166</v>
      </c>
      <c r="N70" s="35"/>
      <c r="O70" s="35"/>
    </row>
    <row r="71" spans="1:15" ht="50.4" hidden="1" customHeight="1" x14ac:dyDescent="0.35">
      <c r="A71" s="164"/>
      <c r="B71" s="465"/>
      <c r="C71" s="465"/>
      <c r="D71" s="465"/>
      <c r="E71" s="471" t="s">
        <v>346</v>
      </c>
      <c r="F71" s="482" t="s">
        <v>347</v>
      </c>
      <c r="G71" s="496" t="str">
        <f t="shared" si="1"/>
        <v>No</v>
      </c>
      <c r="H71" s="490" t="str">
        <f>IF($H$1="SW","No HW development, scope is for SW SEooC only","Standard Automotive testing of HW component - with the addition of fault injection during silicon validation when feasible, as well as safety requirement traceability")</f>
        <v>No HW development, scope is for SW SEooC only</v>
      </c>
      <c r="I71" s="38" t="s">
        <v>341</v>
      </c>
      <c r="J71" s="491"/>
      <c r="K71" s="493"/>
      <c r="L71" s="35" t="s">
        <v>164</v>
      </c>
      <c r="M71" s="65" t="s">
        <v>166</v>
      </c>
      <c r="N71" s="35"/>
      <c r="O71" s="35"/>
    </row>
    <row r="72" spans="1:15" ht="50.4" hidden="1" customHeight="1" x14ac:dyDescent="0.35">
      <c r="A72" s="164"/>
      <c r="B72" s="465"/>
      <c r="C72" s="465"/>
      <c r="D72" s="465"/>
      <c r="E72" s="471"/>
      <c r="F72" s="482"/>
      <c r="G72" s="497"/>
      <c r="H72" s="491"/>
      <c r="I72" s="38" t="s">
        <v>343</v>
      </c>
      <c r="J72" s="491"/>
      <c r="K72" s="494"/>
      <c r="L72" s="35" t="s">
        <v>164</v>
      </c>
      <c r="M72" s="65" t="s">
        <v>166</v>
      </c>
      <c r="N72" s="35"/>
      <c r="O72" s="35"/>
    </row>
    <row r="73" spans="1:15" ht="50.4" hidden="1" customHeight="1" x14ac:dyDescent="0.35">
      <c r="A73" s="164"/>
      <c r="B73" s="465"/>
      <c r="C73" s="465"/>
      <c r="D73" s="465"/>
      <c r="E73" s="471"/>
      <c r="F73" s="482"/>
      <c r="G73" s="497"/>
      <c r="H73" s="491"/>
      <c r="I73" s="38" t="s">
        <v>344</v>
      </c>
      <c r="J73" s="491"/>
      <c r="K73" s="494"/>
      <c r="L73" s="35" t="s">
        <v>164</v>
      </c>
      <c r="M73" s="65" t="s">
        <v>166</v>
      </c>
      <c r="N73" s="35"/>
      <c r="O73" s="35"/>
    </row>
    <row r="74" spans="1:15" ht="50.4" hidden="1" customHeight="1" x14ac:dyDescent="0.35">
      <c r="A74" s="164"/>
      <c r="B74" s="466"/>
      <c r="C74" s="466"/>
      <c r="D74" s="466"/>
      <c r="E74" s="471"/>
      <c r="F74" s="482"/>
      <c r="G74" s="498"/>
      <c r="H74" s="492"/>
      <c r="I74" s="38" t="s">
        <v>345</v>
      </c>
      <c r="J74" s="492"/>
      <c r="K74" s="495"/>
      <c r="L74" s="35" t="s">
        <v>164</v>
      </c>
      <c r="M74" s="65" t="s">
        <v>166</v>
      </c>
      <c r="N74" s="35"/>
      <c r="O74" s="35"/>
    </row>
    <row r="75" spans="1:15" hidden="1" x14ac:dyDescent="0.35">
      <c r="A75" s="164"/>
      <c r="B75" s="182"/>
      <c r="C75" s="176"/>
      <c r="D75" s="175"/>
      <c r="E75" s="177"/>
      <c r="F75" s="183"/>
      <c r="G75" s="179"/>
      <c r="H75" s="179"/>
      <c r="I75" s="179"/>
      <c r="J75" s="175"/>
      <c r="K75" s="163"/>
      <c r="L75" s="180"/>
      <c r="M75" s="163"/>
      <c r="N75" s="180"/>
      <c r="O75" s="180"/>
    </row>
    <row r="76" spans="1:15" ht="112.25" customHeight="1" x14ac:dyDescent="0.35">
      <c r="A76" s="164"/>
      <c r="B76" s="465"/>
      <c r="C76" s="464" t="s">
        <v>348</v>
      </c>
      <c r="D76" s="464" t="s">
        <v>349</v>
      </c>
      <c r="E76" s="499" t="s">
        <v>350</v>
      </c>
      <c r="F76" s="483" t="s">
        <v>351</v>
      </c>
      <c r="G76" s="496" t="str">
        <f t="shared" ref="G76:G94" si="2">IF($H$1="HW","No","Yes")</f>
        <v>Yes</v>
      </c>
      <c r="H76" s="490" t="str">
        <f>IF($H$1="HW","No SW development, scope is for HW SEooC only","Design and coding guidelines are available for each SW safety product")</f>
        <v>Design and coding guidelines are available for each SW safety product</v>
      </c>
      <c r="I76" s="496" t="s">
        <v>352</v>
      </c>
      <c r="J76" s="490" t="s">
        <v>353</v>
      </c>
      <c r="K76" s="493"/>
      <c r="L76" s="508" t="s">
        <v>137</v>
      </c>
      <c r="M76" s="510" t="s">
        <v>354</v>
      </c>
      <c r="N76" s="66" t="s">
        <v>355</v>
      </c>
      <c r="O76" s="190" t="str">
        <f ca="1">HYPERLINK("#"&amp; CELL("address",INDEX([0]!lookup_data,MATCH(N76,[0]!lookup_data,0))),N76)</f>
        <v>Project Design Guideline</v>
      </c>
    </row>
    <row r="77" spans="1:15" ht="112.25" hidden="1" customHeight="1" x14ac:dyDescent="0.35">
      <c r="A77" s="164"/>
      <c r="B77" s="465"/>
      <c r="C77" s="466"/>
      <c r="D77" s="466"/>
      <c r="E77" s="501"/>
      <c r="F77" s="485"/>
      <c r="G77" s="498"/>
      <c r="H77" s="492"/>
      <c r="I77" s="498"/>
      <c r="J77" s="492"/>
      <c r="K77" s="495"/>
      <c r="L77" s="509"/>
      <c r="M77" s="511"/>
      <c r="N77" s="66" t="s">
        <v>356</v>
      </c>
      <c r="O77" s="190" t="str">
        <f ca="1">HYPERLINK("#"&amp; CELL("address",INDEX([0]!lookup_data,MATCH(N77,[0]!lookup_data,0))),N77)</f>
        <v>Project Coding Guideline</v>
      </c>
    </row>
    <row r="78" spans="1:15" ht="133.25" customHeight="1" x14ac:dyDescent="0.35">
      <c r="A78" s="164"/>
      <c r="B78" s="465"/>
      <c r="C78" s="464" t="s">
        <v>357</v>
      </c>
      <c r="D78" s="464" t="s">
        <v>358</v>
      </c>
      <c r="E78" s="222" t="s">
        <v>359</v>
      </c>
      <c r="F78" s="166" t="s">
        <v>357</v>
      </c>
      <c r="G78" s="38" t="str">
        <f t="shared" si="2"/>
        <v>Yes</v>
      </c>
      <c r="H78" s="219" t="str">
        <f>IF($H$1="HW","No SW development, scope is for HW SEooC only","Software safety requirements specification  is created and maintained for each software safety product.")</f>
        <v>Software safety requirements specification  is created and maintained for each software safety product.</v>
      </c>
      <c r="I78" s="38" t="s">
        <v>360</v>
      </c>
      <c r="J78" s="219" t="s">
        <v>361</v>
      </c>
      <c r="K78" s="155"/>
      <c r="L78" s="35" t="s">
        <v>137</v>
      </c>
      <c r="M78" s="65" t="s">
        <v>362</v>
      </c>
      <c r="N78" s="66" t="s">
        <v>363</v>
      </c>
      <c r="O78" s="190" t="str">
        <f ca="1">HYPERLINK("#"&amp; CELL("address",INDEX([0]!lookup_data,MATCH(N78,[0]!lookup_data,0))),N78)</f>
        <v>SW Requirements Specifications (RS) at all SW levels: high level and detailed RS  (including security scope)</v>
      </c>
    </row>
    <row r="79" spans="1:15" ht="143" x14ac:dyDescent="0.35">
      <c r="A79" s="164"/>
      <c r="B79" s="465"/>
      <c r="C79" s="465"/>
      <c r="D79" s="465"/>
      <c r="E79" s="222" t="s">
        <v>364</v>
      </c>
      <c r="F79" s="166" t="s">
        <v>292</v>
      </c>
      <c r="G79" s="38" t="str">
        <f t="shared" si="2"/>
        <v>Yes</v>
      </c>
      <c r="H79" s="219" t="s">
        <v>293</v>
      </c>
      <c r="I79" s="38" t="s">
        <v>294</v>
      </c>
      <c r="J79" s="219"/>
      <c r="K79" s="155"/>
      <c r="L79" s="35" t="s">
        <v>137</v>
      </c>
      <c r="M79" s="65" t="s">
        <v>365</v>
      </c>
      <c r="N79" s="66" t="s">
        <v>366</v>
      </c>
      <c r="O79" s="190" t="str">
        <f ca="1">HYPERLINK("#"&amp; CELL("address",INDEX([0]!lookup_data,MATCH(N79,[0]!lookup_data,0))),N79)</f>
        <v>Reference Manual (if applicable)</v>
      </c>
    </row>
    <row r="80" spans="1:15" ht="39" x14ac:dyDescent="0.35">
      <c r="A80" s="164"/>
      <c r="B80" s="465"/>
      <c r="C80" s="465"/>
      <c r="D80" s="465"/>
      <c r="E80" s="499" t="s">
        <v>367</v>
      </c>
      <c r="F80" s="502" t="s">
        <v>368</v>
      </c>
      <c r="G80" s="496" t="str">
        <f t="shared" si="2"/>
        <v>Yes</v>
      </c>
      <c r="H80" s="490" t="str">
        <f>IF($H$1="HW","No SW development, scope is for HW SEooC only","Where applicable, Test Reports, Review Records and Traceability Reports are evidences for safety requirements verification.")</f>
        <v>Where applicable, Test Reports, Review Records and Traceability Reports are evidences for safety requirements verification.</v>
      </c>
      <c r="I80" s="496" t="s">
        <v>369</v>
      </c>
      <c r="J80" s="490" t="s">
        <v>370</v>
      </c>
      <c r="K80" s="493"/>
      <c r="L80" s="35" t="s">
        <v>137</v>
      </c>
      <c r="M80" s="65" t="s">
        <v>371</v>
      </c>
      <c r="N80" s="66" t="s">
        <v>372</v>
      </c>
      <c r="O80" s="190" t="str">
        <f ca="1">HYPERLINK("#"&amp; CELL("address",INDEX([0]!lookup_data,MATCH(N80,[0]!lookup_data,0))),N80)</f>
        <v>SW Test Reports</v>
      </c>
    </row>
    <row r="81" spans="1:15" ht="74.400000000000006" customHeight="1" x14ac:dyDescent="0.35">
      <c r="A81" s="164"/>
      <c r="B81" s="465"/>
      <c r="C81" s="465"/>
      <c r="D81" s="465"/>
      <c r="E81" s="500"/>
      <c r="F81" s="503"/>
      <c r="G81" s="497"/>
      <c r="H81" s="491"/>
      <c r="I81" s="497"/>
      <c r="J81" s="491"/>
      <c r="K81" s="494"/>
      <c r="L81" s="35" t="s">
        <v>137</v>
      </c>
      <c r="M81" s="65" t="s">
        <v>373</v>
      </c>
      <c r="N81" s="66" t="s">
        <v>374</v>
      </c>
      <c r="O81" s="190" t="str">
        <f ca="1">HYPERLINK("#"&amp; CELL("address",INDEX([0]!lookup_data,MATCH(N81,[0]!lookup_data,0))),N81)</f>
        <v>SW Traceability Matrix (full: Req-design-code-tests)</v>
      </c>
    </row>
    <row r="82" spans="1:15" ht="41.4" customHeight="1" x14ac:dyDescent="0.35">
      <c r="A82" s="164"/>
      <c r="B82" s="465"/>
      <c r="C82" s="465"/>
      <c r="D82" s="465"/>
      <c r="E82" s="500"/>
      <c r="F82" s="503"/>
      <c r="G82" s="497"/>
      <c r="H82" s="491"/>
      <c r="I82" s="497"/>
      <c r="J82" s="491"/>
      <c r="K82" s="494"/>
      <c r="L82" s="35" t="s">
        <v>137</v>
      </c>
      <c r="M82" s="65" t="s">
        <v>375</v>
      </c>
      <c r="N82" s="66" t="s">
        <v>376</v>
      </c>
      <c r="O82" s="190" t="str">
        <f ca="1">HYPERLINK("#"&amp; CELL("address",INDEX([0]!lookup_data,MATCH(N82,[0]!lookup_data,0))),N82)</f>
        <v>Review records in bitbucket and Crucible</v>
      </c>
    </row>
    <row r="83" spans="1:15" ht="26" x14ac:dyDescent="0.35">
      <c r="A83" s="164"/>
      <c r="B83" s="465"/>
      <c r="C83" s="466"/>
      <c r="D83" s="466"/>
      <c r="E83" s="501"/>
      <c r="F83" s="504"/>
      <c r="G83" s="498"/>
      <c r="H83" s="492"/>
      <c r="I83" s="498"/>
      <c r="J83" s="492"/>
      <c r="K83" s="495"/>
      <c r="L83" s="35" t="s">
        <v>137</v>
      </c>
      <c r="M83" s="65" t="s">
        <v>377</v>
      </c>
      <c r="N83" s="66" t="s">
        <v>378</v>
      </c>
      <c r="O83" s="190" t="str">
        <f ca="1">HYPERLINK("#"&amp; CELL("address",INDEX([0]!lookup_data,MATCH(N83,[0]!lookup_data,0))),N83)</f>
        <v>Static Analysis - HIS Metrics report</v>
      </c>
    </row>
    <row r="84" spans="1:15" ht="71.150000000000006" customHeight="1" x14ac:dyDescent="0.35">
      <c r="A84" s="164"/>
      <c r="B84" s="465"/>
      <c r="C84" s="479" t="s">
        <v>379</v>
      </c>
      <c r="D84" s="481" t="s">
        <v>380</v>
      </c>
      <c r="E84" s="222" t="s">
        <v>381</v>
      </c>
      <c r="F84" s="174" t="s">
        <v>382</v>
      </c>
      <c r="G84" s="38" t="str">
        <f t="shared" si="2"/>
        <v>Yes</v>
      </c>
      <c r="H84" s="219" t="str">
        <f>IF($H$1="HW","No SW development, scope is for HW SEooC only","A software architectural specification is created if applicable.")</f>
        <v>A software architectural specification is created if applicable.</v>
      </c>
      <c r="I84" s="38" t="s">
        <v>383</v>
      </c>
      <c r="J84" s="219" t="s">
        <v>384</v>
      </c>
      <c r="K84" s="155"/>
      <c r="L84" s="35" t="s">
        <v>137</v>
      </c>
      <c r="M84" s="65" t="s">
        <v>385</v>
      </c>
      <c r="N84" s="67" t="s">
        <v>386</v>
      </c>
      <c r="O84" s="190" t="str">
        <f ca="1">HYPERLINK("#"&amp; CELL("address",INDEX([0]!lookup_data,MATCH(N84,[0]!lookup_data,0))),N84)</f>
        <v>SW Architectural Specification (including safety concept; software security concept) (AS)</v>
      </c>
    </row>
    <row r="85" spans="1:15" ht="61.5" customHeight="1" x14ac:dyDescent="0.35">
      <c r="A85" s="164"/>
      <c r="B85" s="465"/>
      <c r="C85" s="489"/>
      <c r="D85" s="481"/>
      <c r="E85" s="222" t="s">
        <v>387</v>
      </c>
      <c r="F85" s="174" t="s">
        <v>388</v>
      </c>
      <c r="G85" s="38" t="str">
        <f t="shared" si="2"/>
        <v>Yes</v>
      </c>
      <c r="H85" s="219" t="str">
        <f>IF($H$1="HW","No SW development, scope is for HW SEooC only","Safety Analysis at the architectural level.")</f>
        <v>Safety Analysis at the architectural level.</v>
      </c>
      <c r="I85" s="38" t="s">
        <v>389</v>
      </c>
      <c r="J85" s="219" t="s">
        <v>390</v>
      </c>
      <c r="K85" s="155"/>
      <c r="L85" s="35" t="s">
        <v>137</v>
      </c>
      <c r="M85" s="65" t="s">
        <v>391</v>
      </c>
      <c r="N85" s="69" t="s">
        <v>392</v>
      </c>
      <c r="O85" s="190" t="str">
        <f ca="1">HYPERLINK("#"&amp; CELL("address",INDEX([0]!lookup_data,MATCH(N85,[0]!lookup_data,0))),N85)</f>
        <v>SW Safety Analysis (eg SW FMEA) for  Explicit safety projects. Note that for Implicit safety, the FMEA is required at EAR in A version; no initial version.</v>
      </c>
    </row>
    <row r="86" spans="1:15" ht="61.5" hidden="1" customHeight="1" x14ac:dyDescent="0.35">
      <c r="A86" s="164"/>
      <c r="B86" s="465"/>
      <c r="C86" s="489"/>
      <c r="D86" s="481"/>
      <c r="E86" s="222" t="s">
        <v>393</v>
      </c>
      <c r="F86" s="174" t="s">
        <v>394</v>
      </c>
      <c r="G86" s="38" t="str">
        <f>IF($H$1="HW","No","No")</f>
        <v>No</v>
      </c>
      <c r="H86" s="219" t="str">
        <f>IF($H$1="HW","No SW development, scope is for HW SEooC only","Not in scope for SW components developed by NXP. Only applicable for applications integrating multiple SW components. (e.g. as performed by OEM or Tier 1)")</f>
        <v>Not in scope for SW components developed by NXP. Only applicable for applications integrating multiple SW components. (e.g. as performed by OEM or Tier 1)</v>
      </c>
      <c r="I86" s="38"/>
      <c r="J86" s="219"/>
      <c r="K86" s="155"/>
      <c r="L86" s="35" t="s">
        <v>164</v>
      </c>
      <c r="M86" s="65" t="s">
        <v>166</v>
      </c>
      <c r="N86" s="35"/>
      <c r="O86" s="35"/>
    </row>
    <row r="87" spans="1:15" ht="61.5" customHeight="1" x14ac:dyDescent="0.35">
      <c r="A87" s="164"/>
      <c r="B87" s="465"/>
      <c r="C87" s="480"/>
      <c r="D87" s="481"/>
      <c r="E87" s="222" t="s">
        <v>395</v>
      </c>
      <c r="F87" s="174" t="s">
        <v>396</v>
      </c>
      <c r="G87" s="38" t="str">
        <f t="shared" si="2"/>
        <v>Yes</v>
      </c>
      <c r="H87" s="219" t="str">
        <f>IF($H$1="HW","No SW development, scope is for HW SEooC only","Reviews, Traceability.")</f>
        <v>Reviews, Traceability.</v>
      </c>
      <c r="I87" s="38" t="s">
        <v>397</v>
      </c>
      <c r="J87" s="219" t="s">
        <v>398</v>
      </c>
      <c r="K87" s="155"/>
      <c r="L87" s="35" t="s">
        <v>137</v>
      </c>
      <c r="M87" s="65" t="s">
        <v>362</v>
      </c>
      <c r="N87" s="66" t="s">
        <v>363</v>
      </c>
      <c r="O87" s="190" t="str">
        <f ca="1">HYPERLINK("#"&amp; CELL("address",INDEX([0]!lookup_data,MATCH(N87,[0]!lookup_data,0))),N87)</f>
        <v>SW Requirements Specifications (RS) at all SW levels: high level and detailed RS  (including security scope)</v>
      </c>
    </row>
    <row r="88" spans="1:15" ht="117" x14ac:dyDescent="0.35">
      <c r="A88" s="164"/>
      <c r="B88" s="465"/>
      <c r="C88" s="479" t="s">
        <v>399</v>
      </c>
      <c r="D88" s="481" t="s">
        <v>400</v>
      </c>
      <c r="E88" s="222" t="s">
        <v>401</v>
      </c>
      <c r="F88" s="174" t="s">
        <v>402</v>
      </c>
      <c r="G88" s="38" t="str">
        <f t="shared" si="2"/>
        <v>Yes</v>
      </c>
      <c r="H88" s="219" t="str">
        <f>IF($H$1="HW","No SW development, scope is for HW SEooC only","Software unit design specification is created for each software safety product.")</f>
        <v>Software unit design specification is created for each software safety product.</v>
      </c>
      <c r="I88" s="38" t="s">
        <v>403</v>
      </c>
      <c r="J88" s="219" t="s">
        <v>404</v>
      </c>
      <c r="K88" s="155"/>
      <c r="L88" s="35" t="s">
        <v>137</v>
      </c>
      <c r="M88" s="65" t="s">
        <v>405</v>
      </c>
      <c r="N88" s="70" t="s">
        <v>406</v>
      </c>
      <c r="O88" s="190" t="str">
        <f ca="1">HYPERLINK("#"&amp; CELL("address",INDEX([0]!lookup_data,MATCH(N88,[0]!lookup_data,0))),N88)</f>
        <v>SW Detailed Design  (including security scope)</v>
      </c>
    </row>
    <row r="89" spans="1:15" ht="39" x14ac:dyDescent="0.35">
      <c r="A89" s="164"/>
      <c r="B89" s="465"/>
      <c r="C89" s="489"/>
      <c r="D89" s="481"/>
      <c r="E89" s="222" t="s">
        <v>407</v>
      </c>
      <c r="F89" s="174" t="s">
        <v>408</v>
      </c>
      <c r="G89" s="38" t="str">
        <f t="shared" si="2"/>
        <v>Yes</v>
      </c>
      <c r="H89" s="219" t="str">
        <f>IF($H$1="HW","No SW development, scope is for HW SEooC only","Source code/binaries")</f>
        <v>Source code/binaries</v>
      </c>
      <c r="I89" s="38" t="s">
        <v>409</v>
      </c>
      <c r="J89" s="219"/>
      <c r="K89" s="155"/>
      <c r="L89" s="35" t="s">
        <v>137</v>
      </c>
      <c r="M89" s="65" t="s">
        <v>410</v>
      </c>
      <c r="N89" s="70" t="s">
        <v>411</v>
      </c>
      <c r="O89" s="190" t="str">
        <f ca="1">HYPERLINK("#"&amp; CELL("address",INDEX([0]!lookup_data,MATCH(N89,[0]!lookup_data,0))),N89)</f>
        <v>Source code / binaries</v>
      </c>
    </row>
    <row r="90" spans="1:15" ht="69" customHeight="1" x14ac:dyDescent="0.35">
      <c r="A90" s="164"/>
      <c r="B90" s="465"/>
      <c r="C90" s="464" t="s">
        <v>412</v>
      </c>
      <c r="D90" s="464" t="s">
        <v>413</v>
      </c>
      <c r="E90" s="222" t="s">
        <v>414</v>
      </c>
      <c r="F90" s="174" t="s">
        <v>415</v>
      </c>
      <c r="G90" s="38" t="str">
        <f t="shared" si="2"/>
        <v>Yes</v>
      </c>
      <c r="H90" s="219" t="str">
        <f>IF($H$1="HW","No SW development, scope is for HW SEooC only","Unit Test Specification")</f>
        <v>Unit Test Specification</v>
      </c>
      <c r="I90" s="38" t="s">
        <v>416</v>
      </c>
      <c r="J90" s="219" t="s">
        <v>417</v>
      </c>
      <c r="K90" s="155"/>
      <c r="L90" s="35" t="s">
        <v>137</v>
      </c>
      <c r="M90" s="65" t="s">
        <v>418</v>
      </c>
      <c r="N90" s="66" t="s">
        <v>419</v>
      </c>
      <c r="O90" s="190" t="str">
        <f ca="1">HYPERLINK("#"&amp; CELL("address",INDEX([0]!lookup_data,MATCH(N90,[0]!lookup_data,0))),N90)</f>
        <v>SW Test Plan (Test Strategy)</v>
      </c>
    </row>
    <row r="91" spans="1:15" ht="65" x14ac:dyDescent="0.35">
      <c r="A91" s="164"/>
      <c r="B91" s="465"/>
      <c r="C91" s="466"/>
      <c r="D91" s="466"/>
      <c r="E91" s="222" t="s">
        <v>420</v>
      </c>
      <c r="F91" s="184" t="s">
        <v>421</v>
      </c>
      <c r="G91" s="38" t="str">
        <f t="shared" si="2"/>
        <v>Yes</v>
      </c>
      <c r="H91" s="219" t="str">
        <f>IF($H$1="HW","No SW development, scope is for HW SEooC only","Unit tests and code coverage results")</f>
        <v>Unit tests and code coverage results</v>
      </c>
      <c r="I91" s="38" t="s">
        <v>422</v>
      </c>
      <c r="J91" s="219" t="s">
        <v>423</v>
      </c>
      <c r="K91" s="155"/>
      <c r="L91" s="35" t="s">
        <v>137</v>
      </c>
      <c r="M91" s="65" t="s">
        <v>371</v>
      </c>
      <c r="N91" s="66" t="s">
        <v>372</v>
      </c>
      <c r="O91" s="190" t="str">
        <f ca="1">HYPERLINK("#"&amp; CELL("address",INDEX([0]!lookup_data,MATCH(N91,[0]!lookup_data,0))),N91)</f>
        <v>SW Test Reports</v>
      </c>
    </row>
    <row r="92" spans="1:15" ht="39" x14ac:dyDescent="0.35">
      <c r="A92" s="164"/>
      <c r="B92" s="465"/>
      <c r="C92" s="464" t="s">
        <v>424</v>
      </c>
      <c r="D92" s="464" t="s">
        <v>425</v>
      </c>
      <c r="E92" s="222" t="s">
        <v>426</v>
      </c>
      <c r="F92" s="174" t="s">
        <v>427</v>
      </c>
      <c r="G92" s="38" t="str">
        <f t="shared" si="2"/>
        <v>Yes</v>
      </c>
      <c r="H92" s="219" t="str">
        <f>IF($H$1="HW","No SW development, scope is for HW SEooC only","Contains specification of the integration tests")</f>
        <v>Contains specification of the integration tests</v>
      </c>
      <c r="I92" s="38" t="s">
        <v>428</v>
      </c>
      <c r="J92" s="219" t="s">
        <v>429</v>
      </c>
      <c r="K92" s="155"/>
      <c r="L92" s="35" t="s">
        <v>137</v>
      </c>
      <c r="M92" s="65" t="s">
        <v>430</v>
      </c>
      <c r="N92" s="66" t="s">
        <v>431</v>
      </c>
      <c r="O92" s="190" t="str">
        <f ca="1">HYPERLINK("#"&amp; CELL("address",INDEX([0]!lookup_data,MATCH(N92,[0]!lookup_data,0))),N92)</f>
        <v>SW Test Specification (at all test levels)</v>
      </c>
    </row>
    <row r="93" spans="1:15" ht="69" hidden="1" customHeight="1" x14ac:dyDescent="0.35">
      <c r="A93" s="164"/>
      <c r="B93" s="465"/>
      <c r="C93" s="465"/>
      <c r="D93" s="465"/>
      <c r="E93" s="222" t="s">
        <v>432</v>
      </c>
      <c r="F93" s="174" t="s">
        <v>433</v>
      </c>
      <c r="G93" s="38" t="str">
        <f t="shared" si="2"/>
        <v>Yes</v>
      </c>
      <c r="H93" s="219" t="str">
        <f>IF($H$1="HW","No SW development, scope is for HW SEooC only","Integrated SW.")</f>
        <v>Integrated SW.</v>
      </c>
      <c r="I93" s="38" t="s">
        <v>434</v>
      </c>
      <c r="J93" s="219"/>
      <c r="K93" s="155"/>
      <c r="L93" s="35" t="s">
        <v>164</v>
      </c>
      <c r="M93" s="65" t="s">
        <v>251</v>
      </c>
      <c r="N93" s="35"/>
      <c r="O93" s="35"/>
    </row>
    <row r="94" spans="1:15" ht="86.4" hidden="1" customHeight="1" x14ac:dyDescent="0.35">
      <c r="A94" s="164"/>
      <c r="B94" s="465"/>
      <c r="C94" s="466"/>
      <c r="D94" s="466"/>
      <c r="E94" s="222" t="s">
        <v>435</v>
      </c>
      <c r="F94" s="174" t="s">
        <v>396</v>
      </c>
      <c r="G94" s="38" t="str">
        <f t="shared" si="2"/>
        <v>Yes</v>
      </c>
      <c r="H94" s="219" t="str">
        <f>IF($H$1="HW","No SW development, scope is for HW SEooC only","Integration tests reports")</f>
        <v>Integration tests reports</v>
      </c>
      <c r="I94" s="38" t="s">
        <v>436</v>
      </c>
      <c r="J94" s="219" t="s">
        <v>437</v>
      </c>
      <c r="K94" s="155"/>
      <c r="L94" s="35" t="s">
        <v>164</v>
      </c>
      <c r="M94" s="65" t="s">
        <v>251</v>
      </c>
      <c r="N94" s="35"/>
      <c r="O94" s="35"/>
    </row>
    <row r="95" spans="1:15" ht="66.650000000000006" hidden="1" customHeight="1" x14ac:dyDescent="0.35">
      <c r="A95" s="164"/>
      <c r="B95" s="465"/>
      <c r="C95" s="464" t="s">
        <v>438</v>
      </c>
      <c r="D95" s="464" t="s">
        <v>439</v>
      </c>
      <c r="E95" s="222" t="s">
        <v>440</v>
      </c>
      <c r="F95" s="174" t="s">
        <v>427</v>
      </c>
      <c r="G95" s="38" t="str">
        <f>IF($H$1="HW","No","No")</f>
        <v>No</v>
      </c>
      <c r="H95" s="219" t="str">
        <f>IF($H$1="HW","No SW development, scope is for HW SEooC only","Not applicable for  SW SEooC")</f>
        <v>Not applicable for  SW SEooC</v>
      </c>
      <c r="I95" s="38"/>
      <c r="J95" s="219"/>
      <c r="K95" s="155"/>
      <c r="L95" s="35" t="s">
        <v>164</v>
      </c>
      <c r="M95" s="65" t="s">
        <v>251</v>
      </c>
      <c r="N95" s="35"/>
      <c r="O95" s="35"/>
    </row>
    <row r="96" spans="1:15" ht="66.650000000000006" hidden="1" customHeight="1" x14ac:dyDescent="0.35">
      <c r="A96" s="164"/>
      <c r="B96" s="465"/>
      <c r="C96" s="466"/>
      <c r="D96" s="466"/>
      <c r="E96" s="222" t="s">
        <v>441</v>
      </c>
      <c r="F96" s="174" t="s">
        <v>421</v>
      </c>
      <c r="G96" s="38" t="str">
        <f>IF($H$1="HW","No","No")</f>
        <v>No</v>
      </c>
      <c r="H96" s="219" t="str">
        <f>IF($H$1="HW","No SW development, scope is for HW SEooC only","Not applicable for  SW SEooC")</f>
        <v>Not applicable for  SW SEooC</v>
      </c>
      <c r="I96" s="38"/>
      <c r="J96" s="219"/>
      <c r="K96" s="155"/>
      <c r="L96" s="35" t="s">
        <v>164</v>
      </c>
      <c r="M96" s="65" t="s">
        <v>251</v>
      </c>
      <c r="N96" s="35"/>
      <c r="O96" s="35"/>
    </row>
    <row r="97" spans="1:15" ht="93" hidden="1" customHeight="1" x14ac:dyDescent="0.35">
      <c r="A97" s="164"/>
      <c r="B97" s="465"/>
      <c r="C97" s="464" t="s">
        <v>442</v>
      </c>
      <c r="D97" s="464" t="s">
        <v>443</v>
      </c>
      <c r="E97" s="222" t="s">
        <v>444</v>
      </c>
      <c r="F97" s="174" t="s">
        <v>445</v>
      </c>
      <c r="G97" s="38" t="str">
        <f>IF($H$1="HW","No","Yes")</f>
        <v>Yes</v>
      </c>
      <c r="H97" s="219" t="str">
        <f>IF($H$1="HW","No SW development, scope is for HW SEooC only","This work product is applicable in case such requirements are available, for example Autosar Configuration Requirements")</f>
        <v>This work product is applicable in case such requirements are available, for example Autosar Configuration Requirements</v>
      </c>
      <c r="I97" s="38" t="s">
        <v>446</v>
      </c>
      <c r="J97" s="219" t="s">
        <v>447</v>
      </c>
      <c r="K97" s="155"/>
      <c r="L97" s="35" t="s">
        <v>164</v>
      </c>
      <c r="M97" s="65" t="s">
        <v>251</v>
      </c>
      <c r="N97" s="35"/>
      <c r="O97" s="35"/>
    </row>
    <row r="98" spans="1:15" ht="66.650000000000006" hidden="1" customHeight="1" x14ac:dyDescent="0.35">
      <c r="A98" s="164"/>
      <c r="B98" s="465"/>
      <c r="C98" s="465"/>
      <c r="D98" s="465"/>
      <c r="E98" s="222" t="s">
        <v>448</v>
      </c>
      <c r="F98" s="174" t="s">
        <v>449</v>
      </c>
      <c r="G98" s="38" t="str">
        <f>IF($H$1="HW","No","No")</f>
        <v>No</v>
      </c>
      <c r="H98" s="219" t="str">
        <f>IF($H$1="HW","No SW development, scope is for HW SEooC only","Calibration Data is not applicable at SW component level, but at the application level.")</f>
        <v>Calibration Data is not applicable at SW component level, but at the application level.</v>
      </c>
      <c r="I98" s="38"/>
      <c r="J98" s="219" t="s">
        <v>450</v>
      </c>
      <c r="K98" s="155"/>
      <c r="L98" s="35" t="s">
        <v>164</v>
      </c>
      <c r="M98" s="65" t="s">
        <v>251</v>
      </c>
      <c r="N98" s="35"/>
      <c r="O98" s="35"/>
    </row>
    <row r="99" spans="1:15" ht="66.650000000000006" hidden="1" customHeight="1" x14ac:dyDescent="0.35">
      <c r="A99" s="164"/>
      <c r="B99" s="465"/>
      <c r="C99" s="465"/>
      <c r="D99" s="465"/>
      <c r="E99" s="222" t="s">
        <v>451</v>
      </c>
      <c r="F99" s="174" t="s">
        <v>452</v>
      </c>
      <c r="G99" s="38" t="str">
        <f>IF($H$1="HW","No","Yes")</f>
        <v>Yes</v>
      </c>
      <c r="H99" s="219" t="str">
        <f>IF($H$1="HW","No SW development, scope is for HW SEooC only","This work product is applicable for configurable software products, for which configuration requirements exist.")</f>
        <v>This work product is applicable for configurable software products, for which configuration requirements exist.</v>
      </c>
      <c r="I99" s="38" t="s">
        <v>453</v>
      </c>
      <c r="J99" s="219" t="s">
        <v>454</v>
      </c>
      <c r="K99" s="155"/>
      <c r="L99" s="35" t="s">
        <v>164</v>
      </c>
      <c r="M99" s="65" t="s">
        <v>251</v>
      </c>
      <c r="N99" s="35"/>
      <c r="O99" s="35"/>
    </row>
    <row r="100" spans="1:15" ht="66.650000000000006" hidden="1" customHeight="1" x14ac:dyDescent="0.35">
      <c r="A100" s="164"/>
      <c r="B100" s="465"/>
      <c r="C100" s="465"/>
      <c r="D100" s="465"/>
      <c r="E100" s="222" t="s">
        <v>455</v>
      </c>
      <c r="F100" s="174" t="s">
        <v>456</v>
      </c>
      <c r="G100" s="38" t="str">
        <f>IF($H$1="HW","No","No")</f>
        <v>No</v>
      </c>
      <c r="H100" s="219" t="str">
        <f>IF($H$1="HW","No SW development, scope is for HW SEooC only","Calibration Data is not applicable at SW component level, but at the application level.")</f>
        <v>Calibration Data is not applicable at SW component level, but at the application level.</v>
      </c>
      <c r="I100" s="38"/>
      <c r="J100" s="219" t="s">
        <v>457</v>
      </c>
      <c r="K100" s="155"/>
      <c r="L100" s="35" t="s">
        <v>164</v>
      </c>
      <c r="M100" s="65" t="s">
        <v>251</v>
      </c>
      <c r="N100" s="35"/>
      <c r="O100" s="35"/>
    </row>
    <row r="101" spans="1:15" ht="66.650000000000006" hidden="1" customHeight="1" x14ac:dyDescent="0.35">
      <c r="A101" s="164"/>
      <c r="B101" s="465"/>
      <c r="C101" s="465"/>
      <c r="D101" s="465"/>
      <c r="E101" s="222" t="s">
        <v>458</v>
      </c>
      <c r="F101" s="174" t="s">
        <v>459</v>
      </c>
      <c r="G101" s="38" t="str">
        <f>IF($H$1="HW","No","Yes")</f>
        <v>Yes</v>
      </c>
      <c r="H101" s="219" t="str">
        <f>IF($H$1="HW","No SW development, scope is for HW SEooC only","Updated Test Specification")</f>
        <v>Updated Test Specification</v>
      </c>
      <c r="I101" s="38" t="s">
        <v>460</v>
      </c>
      <c r="J101" s="219" t="s">
        <v>461</v>
      </c>
      <c r="K101" s="155"/>
      <c r="L101" s="35" t="s">
        <v>164</v>
      </c>
      <c r="M101" s="65" t="s">
        <v>251</v>
      </c>
      <c r="N101" s="35"/>
      <c r="O101" s="35"/>
    </row>
    <row r="102" spans="1:15" ht="66.650000000000006" hidden="1" customHeight="1" x14ac:dyDescent="0.35">
      <c r="A102" s="164"/>
      <c r="B102" s="465"/>
      <c r="C102" s="465"/>
      <c r="D102" s="465"/>
      <c r="E102" s="222" t="s">
        <v>462</v>
      </c>
      <c r="F102" s="174" t="s">
        <v>463</v>
      </c>
      <c r="G102" s="38" t="str">
        <f>IF($H$1="HW","No","Yes")</f>
        <v>Yes</v>
      </c>
      <c r="H102" s="219" t="str">
        <f>IF($H$1="HW","No SW development, scope is for HW SEooC only","Test results")</f>
        <v>Test results</v>
      </c>
      <c r="I102" s="38" t="s">
        <v>464</v>
      </c>
      <c r="J102" s="219" t="s">
        <v>465</v>
      </c>
      <c r="K102" s="155"/>
      <c r="L102" s="35" t="s">
        <v>164</v>
      </c>
      <c r="M102" s="65" t="s">
        <v>251</v>
      </c>
      <c r="N102" s="35"/>
      <c r="O102" s="35"/>
    </row>
    <row r="103" spans="1:15" ht="66.650000000000006" hidden="1" customHeight="1" x14ac:dyDescent="0.35">
      <c r="A103" s="164"/>
      <c r="B103" s="465"/>
      <c r="C103" s="465"/>
      <c r="D103" s="465"/>
      <c r="E103" s="222" t="s">
        <v>466</v>
      </c>
      <c r="F103" s="174" t="s">
        <v>467</v>
      </c>
      <c r="G103" s="38" t="str">
        <f>IF($H$1="HW","No","Yes")</f>
        <v>Yes</v>
      </c>
      <c r="H103" s="219" t="str">
        <f>IF($H$1="HW","No SW development, scope is for HW SEooC only","A software architectural specification is created if applicable.")</f>
        <v>A software architectural specification is created if applicable.</v>
      </c>
      <c r="I103" s="38" t="s">
        <v>383</v>
      </c>
      <c r="J103" s="219" t="s">
        <v>384</v>
      </c>
      <c r="K103" s="155"/>
      <c r="L103" s="35" t="s">
        <v>164</v>
      </c>
      <c r="M103" s="65" t="s">
        <v>251</v>
      </c>
      <c r="N103" s="35"/>
      <c r="O103" s="35"/>
    </row>
    <row r="104" spans="1:15" ht="66.650000000000006" hidden="1" customHeight="1" x14ac:dyDescent="0.35">
      <c r="A104" s="164"/>
      <c r="B104" s="466"/>
      <c r="C104" s="466"/>
      <c r="D104" s="466"/>
      <c r="E104" s="222" t="s">
        <v>468</v>
      </c>
      <c r="F104" s="174" t="s">
        <v>469</v>
      </c>
      <c r="G104" s="38" t="str">
        <f>IF($H$1="HW","No","Yes")</f>
        <v>Yes</v>
      </c>
      <c r="H104" s="219" t="str">
        <f>IF($H$1="HW","No SW development, scope is for HW SEooC only","A software architectural specification is created if applicable.")</f>
        <v>A software architectural specification is created if applicable.</v>
      </c>
      <c r="I104" s="38" t="s">
        <v>470</v>
      </c>
      <c r="J104" s="219"/>
      <c r="K104" s="155"/>
      <c r="L104" s="35" t="s">
        <v>164</v>
      </c>
      <c r="M104" s="65" t="s">
        <v>251</v>
      </c>
      <c r="N104" s="35"/>
      <c r="O104" s="35"/>
    </row>
    <row r="105" spans="1:15" hidden="1" x14ac:dyDescent="0.35">
      <c r="A105" s="164"/>
      <c r="B105" s="182"/>
      <c r="C105" s="176"/>
      <c r="D105" s="175"/>
      <c r="E105" s="177"/>
      <c r="F105" s="183"/>
      <c r="G105" s="179"/>
      <c r="H105" s="179"/>
      <c r="I105" s="179"/>
      <c r="J105" s="175"/>
      <c r="K105" s="163"/>
      <c r="L105" s="180"/>
      <c r="M105" s="163"/>
      <c r="N105" s="180"/>
      <c r="O105" s="180"/>
    </row>
    <row r="106" spans="1:15" ht="63.65" hidden="1" customHeight="1" x14ac:dyDescent="0.35">
      <c r="A106" s="164"/>
      <c r="B106" s="464" t="s">
        <v>471</v>
      </c>
      <c r="C106" s="479" t="s">
        <v>472</v>
      </c>
      <c r="D106" s="464" t="s">
        <v>473</v>
      </c>
      <c r="E106" s="222" t="s">
        <v>474</v>
      </c>
      <c r="F106" s="166" t="s">
        <v>475</v>
      </c>
      <c r="G106" s="38" t="str">
        <f>IF($H$1="SW","No","Yes")</f>
        <v>No</v>
      </c>
      <c r="H106" s="219" t="str">
        <f>IF($H$1="SW","No HW development, scope is for SW SEooC only","Standard Automotive production process  for HW component, no specifics for safety")</f>
        <v>No HW development, scope is for SW SEooC only</v>
      </c>
      <c r="I106" s="38" t="s">
        <v>476</v>
      </c>
      <c r="J106" s="490" t="s">
        <v>477</v>
      </c>
      <c r="K106" s="34"/>
      <c r="L106" s="35" t="s">
        <v>164</v>
      </c>
      <c r="M106" s="65" t="s">
        <v>251</v>
      </c>
      <c r="N106" s="35"/>
      <c r="O106" s="35"/>
    </row>
    <row r="107" spans="1:15" ht="63.65" hidden="1" customHeight="1" x14ac:dyDescent="0.35">
      <c r="A107" s="164"/>
      <c r="B107" s="465"/>
      <c r="C107" s="489"/>
      <c r="D107" s="465"/>
      <c r="E107" s="222" t="s">
        <v>478</v>
      </c>
      <c r="F107" s="224" t="s">
        <v>479</v>
      </c>
      <c r="G107" s="38" t="str">
        <f>IF($H$1="SW","No","Yes")</f>
        <v>No</v>
      </c>
      <c r="H107" s="219" t="str">
        <f>IF($H$1="SW","No HW development, scope is for SW SEooC only","Standard Automotive production process  for HW component, no specifics for safety")</f>
        <v>No HW development, scope is for SW SEooC only</v>
      </c>
      <c r="I107" s="38" t="s">
        <v>480</v>
      </c>
      <c r="J107" s="491"/>
      <c r="K107" s="155"/>
      <c r="L107" s="35" t="s">
        <v>164</v>
      </c>
      <c r="M107" s="65" t="s">
        <v>251</v>
      </c>
      <c r="N107" s="35"/>
      <c r="O107" s="35"/>
    </row>
    <row r="108" spans="1:15" ht="117" hidden="1" x14ac:dyDescent="0.35">
      <c r="A108" s="164"/>
      <c r="B108" s="465"/>
      <c r="C108" s="489"/>
      <c r="D108" s="465"/>
      <c r="E108" s="222" t="s">
        <v>481</v>
      </c>
      <c r="F108" s="166" t="s">
        <v>482</v>
      </c>
      <c r="G108" s="38" t="str">
        <f>IF($H$1="SW","No","Yes")</f>
        <v>No</v>
      </c>
      <c r="H108" s="219" t="str">
        <f>IF($H$1="SW","No HW development, scope is for SW SEooC only","Standard Automotive production process  for HW component, no specifics for safety")</f>
        <v>No HW development, scope is for SW SEooC only</v>
      </c>
      <c r="I108" s="38" t="s">
        <v>476</v>
      </c>
      <c r="J108" s="491"/>
      <c r="K108" s="155"/>
      <c r="L108" s="35" t="s">
        <v>164</v>
      </c>
      <c r="M108" s="65" t="s">
        <v>251</v>
      </c>
      <c r="N108" s="35"/>
      <c r="O108" s="35"/>
    </row>
    <row r="109" spans="1:15" ht="63" hidden="1" customHeight="1" x14ac:dyDescent="0.35">
      <c r="A109" s="164"/>
      <c r="B109" s="465"/>
      <c r="C109" s="489"/>
      <c r="D109" s="465"/>
      <c r="E109" s="222" t="s">
        <v>483</v>
      </c>
      <c r="F109" s="166" t="s">
        <v>484</v>
      </c>
      <c r="G109" s="38" t="str">
        <f>IF($H$1="SW","No","Yes")</f>
        <v>No</v>
      </c>
      <c r="H109" s="219" t="str">
        <f>IF($H$1="SW","No HW development, scope is for SW SEooC only","Standard Automotive production process  for HW component, no specifics for safety")</f>
        <v>No HW development, scope is for SW SEooC only</v>
      </c>
      <c r="I109" s="38" t="s">
        <v>485</v>
      </c>
      <c r="J109" s="492"/>
      <c r="K109" s="155"/>
      <c r="L109" s="35" t="s">
        <v>164</v>
      </c>
      <c r="M109" s="65" t="s">
        <v>251</v>
      </c>
      <c r="N109" s="35"/>
      <c r="O109" s="35"/>
    </row>
    <row r="110" spans="1:15" ht="39" hidden="1" x14ac:dyDescent="0.35">
      <c r="A110" s="164"/>
      <c r="B110" s="465"/>
      <c r="C110" s="489"/>
      <c r="D110" s="465"/>
      <c r="E110" s="222" t="s">
        <v>486</v>
      </c>
      <c r="F110" s="166" t="s">
        <v>487</v>
      </c>
      <c r="G110" s="38" t="s">
        <v>164</v>
      </c>
      <c r="H110" s="219" t="s">
        <v>488</v>
      </c>
      <c r="I110" s="38"/>
      <c r="J110" s="219" t="s">
        <v>489</v>
      </c>
      <c r="K110" s="34"/>
      <c r="L110" s="35" t="s">
        <v>164</v>
      </c>
      <c r="M110" s="65" t="s">
        <v>251</v>
      </c>
      <c r="N110" s="35"/>
      <c r="O110" s="35"/>
    </row>
    <row r="111" spans="1:15" ht="39" hidden="1" x14ac:dyDescent="0.35">
      <c r="A111" s="164"/>
      <c r="B111" s="465"/>
      <c r="C111" s="489"/>
      <c r="D111" s="465"/>
      <c r="E111" s="222" t="s">
        <v>490</v>
      </c>
      <c r="F111" s="166" t="s">
        <v>491</v>
      </c>
      <c r="G111" s="38" t="s">
        <v>164</v>
      </c>
      <c r="H111" s="219" t="s">
        <v>488</v>
      </c>
      <c r="I111" s="38"/>
      <c r="J111" s="219" t="s">
        <v>488</v>
      </c>
      <c r="K111" s="155"/>
      <c r="L111" s="35" t="s">
        <v>164</v>
      </c>
      <c r="M111" s="65" t="s">
        <v>251</v>
      </c>
      <c r="N111" s="35"/>
      <c r="O111" s="35"/>
    </row>
    <row r="112" spans="1:15" ht="143" hidden="1" x14ac:dyDescent="0.35">
      <c r="A112" s="164"/>
      <c r="B112" s="465"/>
      <c r="C112" s="489"/>
      <c r="D112" s="465"/>
      <c r="E112" s="222" t="s">
        <v>492</v>
      </c>
      <c r="F112" s="174" t="s">
        <v>493</v>
      </c>
      <c r="G112" s="38" t="s">
        <v>164</v>
      </c>
      <c r="H112" s="219" t="s">
        <v>494</v>
      </c>
      <c r="I112" s="38"/>
      <c r="J112" s="219" t="s">
        <v>494</v>
      </c>
      <c r="K112" s="155"/>
      <c r="L112" s="35" t="s">
        <v>164</v>
      </c>
      <c r="M112" s="65" t="s">
        <v>251</v>
      </c>
      <c r="N112" s="35"/>
      <c r="O112" s="35"/>
    </row>
    <row r="113" spans="1:15" ht="39" hidden="1" x14ac:dyDescent="0.35">
      <c r="A113" s="164"/>
      <c r="B113" s="465"/>
      <c r="C113" s="489"/>
      <c r="D113" s="465"/>
      <c r="E113" s="222" t="s">
        <v>495</v>
      </c>
      <c r="F113" s="174" t="s">
        <v>496</v>
      </c>
      <c r="G113" s="38" t="s">
        <v>164</v>
      </c>
      <c r="H113" s="219" t="s">
        <v>497</v>
      </c>
      <c r="I113" s="38"/>
      <c r="J113" s="219" t="s">
        <v>498</v>
      </c>
      <c r="K113" s="155"/>
      <c r="L113" s="35" t="s">
        <v>164</v>
      </c>
      <c r="M113" s="65" t="s">
        <v>251</v>
      </c>
      <c r="N113" s="35"/>
      <c r="O113" s="35"/>
    </row>
    <row r="114" spans="1:15" ht="130" hidden="1" x14ac:dyDescent="0.35">
      <c r="A114" s="164"/>
      <c r="B114" s="465"/>
      <c r="C114" s="489"/>
      <c r="D114" s="465"/>
      <c r="E114" s="222" t="s">
        <v>499</v>
      </c>
      <c r="F114" s="174" t="s">
        <v>500</v>
      </c>
      <c r="G114" s="38" t="s">
        <v>164</v>
      </c>
      <c r="H114" s="219" t="s">
        <v>501</v>
      </c>
      <c r="I114" s="38"/>
      <c r="J114" s="219" t="s">
        <v>501</v>
      </c>
      <c r="K114" s="155"/>
      <c r="L114" s="35" t="s">
        <v>164</v>
      </c>
      <c r="M114" s="65" t="s">
        <v>251</v>
      </c>
      <c r="N114" s="35"/>
      <c r="O114" s="35"/>
    </row>
    <row r="115" spans="1:15" ht="63.9" hidden="1" customHeight="1" x14ac:dyDescent="0.35">
      <c r="A115" s="164"/>
      <c r="B115" s="465"/>
      <c r="C115" s="489"/>
      <c r="D115" s="466"/>
      <c r="E115" s="222" t="s">
        <v>502</v>
      </c>
      <c r="F115" s="174" t="s">
        <v>503</v>
      </c>
      <c r="G115" s="38" t="s">
        <v>164</v>
      </c>
      <c r="H115" s="219" t="s">
        <v>504</v>
      </c>
      <c r="I115" s="38"/>
      <c r="J115" s="219" t="s">
        <v>504</v>
      </c>
      <c r="K115" s="155"/>
      <c r="L115" s="35" t="s">
        <v>164</v>
      </c>
      <c r="M115" s="65" t="s">
        <v>251</v>
      </c>
      <c r="N115" s="35"/>
      <c r="O115" s="35"/>
    </row>
    <row r="116" spans="1:15" ht="65.150000000000006" hidden="1" customHeight="1" x14ac:dyDescent="0.35">
      <c r="A116" s="164"/>
      <c r="B116" s="465"/>
      <c r="C116" s="464" t="s">
        <v>505</v>
      </c>
      <c r="D116" s="464" t="s">
        <v>506</v>
      </c>
      <c r="E116" s="222" t="s">
        <v>507</v>
      </c>
      <c r="F116" s="166" t="s">
        <v>508</v>
      </c>
      <c r="G116" s="38" t="str">
        <f>IF($H$1="SW","No","Yes")</f>
        <v>No</v>
      </c>
      <c r="H116" s="219" t="str">
        <f>IF($H$1="SW","No HW development, scope is for SW SEooC only","Standard Automotive production process  for HW component, no specifics for safety")</f>
        <v>No HW development, scope is for SW SEooC only</v>
      </c>
      <c r="I116" s="38" t="s">
        <v>509</v>
      </c>
      <c r="J116" s="39"/>
      <c r="K116" s="155"/>
      <c r="L116" s="35" t="s">
        <v>164</v>
      </c>
      <c r="M116" s="65" t="s">
        <v>251</v>
      </c>
      <c r="N116" s="35"/>
      <c r="O116" s="35"/>
    </row>
    <row r="117" spans="1:15" ht="130.5" hidden="1" x14ac:dyDescent="0.35">
      <c r="A117" s="164"/>
      <c r="B117" s="465"/>
      <c r="C117" s="466"/>
      <c r="D117" s="466"/>
      <c r="E117" s="222" t="s">
        <v>510</v>
      </c>
      <c r="F117" s="185" t="s">
        <v>511</v>
      </c>
      <c r="G117" s="38" t="str">
        <f>IF($H$1="SW","No","Yes")</f>
        <v>No</v>
      </c>
      <c r="H117" s="219" t="str">
        <f>IF($H$1="SW","No HW development, scope is for SW SEooC only","Standard Automotive production process  for HW component, no specifics for safety")</f>
        <v>No HW development, scope is for SW SEooC only</v>
      </c>
      <c r="I117" s="38" t="s">
        <v>485</v>
      </c>
      <c r="J117" s="39"/>
      <c r="K117" s="155"/>
      <c r="L117" s="35" t="s">
        <v>164</v>
      </c>
      <c r="M117" s="65" t="s">
        <v>251</v>
      </c>
      <c r="N117" s="35"/>
      <c r="O117" s="35"/>
    </row>
    <row r="118" spans="1:15" ht="119.15" hidden="1" customHeight="1" x14ac:dyDescent="0.35">
      <c r="A118" s="164"/>
      <c r="B118" s="466"/>
      <c r="C118" s="186" t="s">
        <v>512</v>
      </c>
      <c r="D118" s="187" t="s">
        <v>513</v>
      </c>
      <c r="E118" s="222" t="s">
        <v>514</v>
      </c>
      <c r="F118" s="174" t="s">
        <v>515</v>
      </c>
      <c r="G118" s="38" t="str">
        <f>IF($H$1="SW","No","Yes")</f>
        <v>No</v>
      </c>
      <c r="H118" s="219" t="str">
        <f>IF($H$1="SW","No HW development, scope is for SW SEooC only","Standard Automotive field monitoring process for HW component - with addition of safety impact analysis during field return analysis")</f>
        <v>No HW development, scope is for SW SEooC only</v>
      </c>
      <c r="I118" s="38" t="s">
        <v>224</v>
      </c>
      <c r="J118" s="220" t="s">
        <v>516</v>
      </c>
      <c r="K118" s="155"/>
      <c r="L118" s="35" t="s">
        <v>164</v>
      </c>
      <c r="M118" s="65" t="s">
        <v>251</v>
      </c>
      <c r="N118" s="35"/>
      <c r="O118" s="35"/>
    </row>
    <row r="119" spans="1:15" hidden="1" x14ac:dyDescent="0.35">
      <c r="A119" s="164"/>
      <c r="B119" s="182"/>
      <c r="C119" s="176"/>
      <c r="D119" s="175"/>
      <c r="E119" s="177"/>
      <c r="F119" s="183"/>
      <c r="G119" s="179"/>
      <c r="H119" s="179"/>
      <c r="I119" s="179"/>
      <c r="J119" s="175"/>
      <c r="K119" s="163"/>
      <c r="L119" s="180"/>
      <c r="M119" s="163"/>
      <c r="N119" s="180"/>
      <c r="O119" s="180"/>
    </row>
    <row r="120" spans="1:15" ht="39" hidden="1" x14ac:dyDescent="0.35">
      <c r="A120" s="164"/>
      <c r="B120" s="464" t="s">
        <v>517</v>
      </c>
      <c r="C120" s="479" t="s">
        <v>518</v>
      </c>
      <c r="D120" s="481" t="s">
        <v>519</v>
      </c>
      <c r="E120" s="222" t="s">
        <v>520</v>
      </c>
      <c r="F120" s="166" t="s">
        <v>521</v>
      </c>
      <c r="G120" s="38" t="s">
        <v>137</v>
      </c>
      <c r="H120" s="219" t="s">
        <v>522</v>
      </c>
      <c r="I120" s="38" t="s">
        <v>523</v>
      </c>
      <c r="J120" s="487" t="s">
        <v>524</v>
      </c>
      <c r="K120" s="155"/>
      <c r="L120" s="35" t="s">
        <v>164</v>
      </c>
      <c r="M120" s="65" t="s">
        <v>251</v>
      </c>
      <c r="N120" s="35"/>
      <c r="O120" s="35"/>
    </row>
    <row r="121" spans="1:15" ht="39" hidden="1" x14ac:dyDescent="0.35">
      <c r="A121" s="164"/>
      <c r="B121" s="465"/>
      <c r="C121" s="489"/>
      <c r="D121" s="481"/>
      <c r="E121" s="222" t="s">
        <v>525</v>
      </c>
      <c r="F121" s="224" t="s">
        <v>526</v>
      </c>
      <c r="G121" s="38" t="s">
        <v>137</v>
      </c>
      <c r="H121" s="219" t="s">
        <v>522</v>
      </c>
      <c r="I121" s="38" t="s">
        <v>527</v>
      </c>
      <c r="J121" s="487"/>
      <c r="K121" s="155"/>
      <c r="L121" s="35" t="s">
        <v>164</v>
      </c>
      <c r="M121" s="65" t="s">
        <v>251</v>
      </c>
      <c r="N121" s="35"/>
      <c r="O121" s="35"/>
    </row>
    <row r="122" spans="1:15" ht="60.9" hidden="1" customHeight="1" x14ac:dyDescent="0.35">
      <c r="A122" s="164"/>
      <c r="B122" s="465"/>
      <c r="C122" s="489"/>
      <c r="D122" s="481"/>
      <c r="E122" s="222" t="s">
        <v>528</v>
      </c>
      <c r="F122" s="224" t="s">
        <v>529</v>
      </c>
      <c r="G122" s="38" t="s">
        <v>137</v>
      </c>
      <c r="H122" s="219" t="s">
        <v>522</v>
      </c>
      <c r="I122" s="38" t="s">
        <v>530</v>
      </c>
      <c r="J122" s="487"/>
      <c r="K122" s="34"/>
      <c r="L122" s="35" t="s">
        <v>164</v>
      </c>
      <c r="M122" s="65" t="s">
        <v>251</v>
      </c>
      <c r="N122" s="35"/>
      <c r="O122" s="35"/>
    </row>
    <row r="123" spans="1:15" ht="60.9" hidden="1" customHeight="1" x14ac:dyDescent="0.35">
      <c r="A123" s="164"/>
      <c r="B123" s="465"/>
      <c r="C123" s="489"/>
      <c r="D123" s="481"/>
      <c r="E123" s="222" t="s">
        <v>531</v>
      </c>
      <c r="F123" s="166" t="s">
        <v>532</v>
      </c>
      <c r="G123" s="38" t="str">
        <f>IF($H$2="ASIL A","No","Yes")</f>
        <v>Yes</v>
      </c>
      <c r="H123" s="219" t="str">
        <f>IF($H$2="ASIL A","Not required for ASIL A",IF($H$2="ASIL B","Recommended for ASIL B","Safety Assessment  of HW or SW component development covering the assessment of work products, process to implement functional safety &amp; safety measures used."))</f>
        <v>Safety Assessment  of HW or SW component development covering the assessment of work products, process to implement functional safety &amp; safety measures used.</v>
      </c>
      <c r="I123" s="38" t="s">
        <v>530</v>
      </c>
      <c r="J123" s="487"/>
      <c r="K123" s="34"/>
      <c r="L123" s="35" t="s">
        <v>164</v>
      </c>
      <c r="M123" s="65" t="s">
        <v>251</v>
      </c>
      <c r="N123" s="35"/>
      <c r="O123" s="35"/>
    </row>
    <row r="124" spans="1:15" ht="60.9" hidden="1" customHeight="1" x14ac:dyDescent="0.35">
      <c r="A124" s="164"/>
      <c r="B124" s="465"/>
      <c r="C124" s="480"/>
      <c r="D124" s="481"/>
      <c r="E124" s="222" t="s">
        <v>533</v>
      </c>
      <c r="F124" s="166" t="s">
        <v>534</v>
      </c>
      <c r="G124" s="38" t="s">
        <v>137</v>
      </c>
      <c r="H124" s="219" t="s">
        <v>522</v>
      </c>
      <c r="I124" s="38" t="s">
        <v>535</v>
      </c>
      <c r="J124" s="487"/>
      <c r="K124" s="155"/>
      <c r="L124" s="35" t="s">
        <v>164</v>
      </c>
      <c r="M124" s="65" t="s">
        <v>251</v>
      </c>
      <c r="N124" s="35"/>
      <c r="O124" s="35"/>
    </row>
    <row r="125" spans="1:15" ht="182" x14ac:dyDescent="0.35">
      <c r="A125" s="164"/>
      <c r="B125" s="465"/>
      <c r="C125" s="173" t="s">
        <v>536</v>
      </c>
      <c r="D125" s="221" t="s">
        <v>537</v>
      </c>
      <c r="E125" s="222" t="s">
        <v>538</v>
      </c>
      <c r="F125" s="224" t="s">
        <v>539</v>
      </c>
      <c r="G125" s="38" t="s">
        <v>137</v>
      </c>
      <c r="H125" s="219" t="s">
        <v>540</v>
      </c>
      <c r="I125" s="38" t="s">
        <v>541</v>
      </c>
      <c r="J125" s="220" t="s">
        <v>542</v>
      </c>
      <c r="K125" s="155"/>
      <c r="L125" s="35" t="s">
        <v>137</v>
      </c>
      <c r="M125" s="65" t="s">
        <v>543</v>
      </c>
      <c r="N125" s="69" t="s">
        <v>544</v>
      </c>
      <c r="O125" s="190" t="str">
        <f ca="1">HYPERLINK("#"&amp; CELL("address",INDEX([0]!lookup_data,MATCH(N125,[0]!lookup_data,0))),N125)</f>
        <v>SW Configuration Management Plan</v>
      </c>
    </row>
    <row r="126" spans="1:15" ht="65" x14ac:dyDescent="0.35">
      <c r="A126" s="164"/>
      <c r="B126" s="465"/>
      <c r="C126" s="479" t="s">
        <v>545</v>
      </c>
      <c r="D126" s="481" t="s">
        <v>546</v>
      </c>
      <c r="E126" s="222" t="s">
        <v>547</v>
      </c>
      <c r="F126" s="223" t="s">
        <v>548</v>
      </c>
      <c r="G126" s="38" t="s">
        <v>137</v>
      </c>
      <c r="H126" s="219" t="s">
        <v>549</v>
      </c>
      <c r="I126" s="38" t="s">
        <v>541</v>
      </c>
      <c r="J126" s="487" t="s">
        <v>550</v>
      </c>
      <c r="K126" s="34"/>
      <c r="L126" s="35" t="s">
        <v>137</v>
      </c>
      <c r="M126" s="65" t="s">
        <v>543</v>
      </c>
      <c r="N126" s="69" t="s">
        <v>544</v>
      </c>
      <c r="O126" s="190" t="str">
        <f ca="1">HYPERLINK("#"&amp; CELL("address",INDEX([0]!lookup_data,MATCH(N126,[0]!lookup_data,0))),N126)</f>
        <v>SW Configuration Management Plan</v>
      </c>
    </row>
    <row r="127" spans="1:15" ht="65" x14ac:dyDescent="0.35">
      <c r="A127" s="164"/>
      <c r="B127" s="465"/>
      <c r="C127" s="489"/>
      <c r="D127" s="481"/>
      <c r="E127" s="222" t="s">
        <v>551</v>
      </c>
      <c r="F127" s="223" t="s">
        <v>552</v>
      </c>
      <c r="G127" s="38" t="s">
        <v>137</v>
      </c>
      <c r="H127" s="219" t="s">
        <v>549</v>
      </c>
      <c r="I127" s="38" t="s">
        <v>541</v>
      </c>
      <c r="J127" s="487"/>
      <c r="K127" s="155"/>
      <c r="L127" s="35" t="s">
        <v>137</v>
      </c>
      <c r="M127" s="65" t="s">
        <v>553</v>
      </c>
      <c r="N127" s="69" t="s">
        <v>554</v>
      </c>
      <c r="O127" s="190" t="str">
        <f ca="1">HYPERLINK("#"&amp; CELL("address",INDEX([0]!lookup_data,MATCH(N127,[0]!lookup_data,0))),N127)</f>
        <v>Jira Tickets linked to release version</v>
      </c>
    </row>
    <row r="128" spans="1:15" ht="65" x14ac:dyDescent="0.35">
      <c r="A128" s="164"/>
      <c r="B128" s="465"/>
      <c r="C128" s="489"/>
      <c r="D128" s="481"/>
      <c r="E128" s="222" t="s">
        <v>555</v>
      </c>
      <c r="F128" s="223" t="s">
        <v>556</v>
      </c>
      <c r="G128" s="38" t="s">
        <v>137</v>
      </c>
      <c r="H128" s="219" t="s">
        <v>549</v>
      </c>
      <c r="I128" s="38" t="s">
        <v>541</v>
      </c>
      <c r="J128" s="487"/>
      <c r="K128" s="34"/>
      <c r="L128" s="35" t="s">
        <v>137</v>
      </c>
      <c r="M128" s="65" t="s">
        <v>557</v>
      </c>
      <c r="N128" s="69" t="s">
        <v>554</v>
      </c>
      <c r="O128" s="190" t="str">
        <f ca="1">HYPERLINK("#"&amp; CELL("address",INDEX([0]!lookup_data,MATCH(N128,[0]!lookup_data,0))),N128)</f>
        <v>Jira Tickets linked to release version</v>
      </c>
    </row>
    <row r="129" spans="1:15" ht="65" x14ac:dyDescent="0.35">
      <c r="A129" s="164"/>
      <c r="B129" s="465"/>
      <c r="C129" s="489"/>
      <c r="D129" s="481"/>
      <c r="E129" s="222" t="s">
        <v>558</v>
      </c>
      <c r="F129" s="223" t="s">
        <v>559</v>
      </c>
      <c r="G129" s="38" t="s">
        <v>137</v>
      </c>
      <c r="H129" s="219" t="s">
        <v>549</v>
      </c>
      <c r="I129" s="38" t="s">
        <v>541</v>
      </c>
      <c r="J129" s="487"/>
      <c r="K129" s="34"/>
      <c r="L129" s="35" t="s">
        <v>137</v>
      </c>
      <c r="M129" s="65" t="s">
        <v>553</v>
      </c>
      <c r="N129" s="69" t="s">
        <v>554</v>
      </c>
      <c r="O129" s="190" t="str">
        <f ca="1">HYPERLINK("#"&amp; CELL("address",INDEX([0]!lookup_data,MATCH(N129,[0]!lookup_data,0))),N129)</f>
        <v>Jira Tickets linked to release version</v>
      </c>
    </row>
    <row r="130" spans="1:15" ht="91" x14ac:dyDescent="0.35">
      <c r="A130" s="164"/>
      <c r="B130" s="465"/>
      <c r="C130" s="479" t="s">
        <v>560</v>
      </c>
      <c r="D130" s="481" t="s">
        <v>561</v>
      </c>
      <c r="E130" s="222" t="s">
        <v>562</v>
      </c>
      <c r="F130" s="174" t="s">
        <v>563</v>
      </c>
      <c r="G130" s="38" t="s">
        <v>137</v>
      </c>
      <c r="H130" s="219" t="s">
        <v>564</v>
      </c>
      <c r="I130" s="38" t="s">
        <v>565</v>
      </c>
      <c r="J130" s="470" t="s">
        <v>566</v>
      </c>
      <c r="K130" s="34"/>
      <c r="L130" s="35" t="s">
        <v>137</v>
      </c>
      <c r="M130" s="65" t="s">
        <v>567</v>
      </c>
      <c r="N130" s="69" t="s">
        <v>419</v>
      </c>
      <c r="O130" s="190" t="str">
        <f ca="1">HYPERLINK("#"&amp; CELL("address",INDEX([0]!lookup_data,MATCH(N130,[0]!lookup_data,0))),N130)</f>
        <v>SW Test Plan (Test Strategy)</v>
      </c>
    </row>
    <row r="131" spans="1:15" ht="91" x14ac:dyDescent="0.35">
      <c r="A131" s="164"/>
      <c r="B131" s="465"/>
      <c r="C131" s="489"/>
      <c r="D131" s="481"/>
      <c r="E131" s="222" t="s">
        <v>568</v>
      </c>
      <c r="F131" s="174" t="s">
        <v>569</v>
      </c>
      <c r="G131" s="38" t="s">
        <v>137</v>
      </c>
      <c r="H131" s="219" t="s">
        <v>564</v>
      </c>
      <c r="I131" s="38" t="s">
        <v>570</v>
      </c>
      <c r="J131" s="470"/>
      <c r="K131" s="34"/>
      <c r="L131" s="35" t="s">
        <v>137</v>
      </c>
      <c r="M131" s="65" t="s">
        <v>571</v>
      </c>
      <c r="N131" s="69" t="s">
        <v>431</v>
      </c>
      <c r="O131" s="190" t="str">
        <f ca="1">HYPERLINK("#"&amp; CELL("address",INDEX([0]!lookup_data,MATCH(N131,[0]!lookup_data,0))),N131)</f>
        <v>SW Test Specification (at all test levels)</v>
      </c>
    </row>
    <row r="132" spans="1:15" ht="39" x14ac:dyDescent="0.35">
      <c r="A132" s="164"/>
      <c r="B132" s="465"/>
      <c r="C132" s="489"/>
      <c r="D132" s="481"/>
      <c r="E132" s="499" t="s">
        <v>572</v>
      </c>
      <c r="F132" s="502" t="s">
        <v>573</v>
      </c>
      <c r="G132" s="496" t="s">
        <v>137</v>
      </c>
      <c r="H132" s="490" t="s">
        <v>564</v>
      </c>
      <c r="I132" s="496" t="s">
        <v>574</v>
      </c>
      <c r="J132" s="470"/>
      <c r="K132" s="505"/>
      <c r="L132" s="35" t="s">
        <v>137</v>
      </c>
      <c r="M132" s="65" t="s">
        <v>371</v>
      </c>
      <c r="N132" s="69" t="s">
        <v>372</v>
      </c>
      <c r="O132" s="190" t="str">
        <f ca="1">HYPERLINK("#"&amp; CELL("address",INDEX([0]!lookup_data,MATCH(N132,[0]!lookup_data,0))),N132)</f>
        <v>SW Test Reports</v>
      </c>
    </row>
    <row r="133" spans="1:15" x14ac:dyDescent="0.35">
      <c r="A133" s="164"/>
      <c r="B133" s="465"/>
      <c r="C133" s="489"/>
      <c r="D133" s="481"/>
      <c r="E133" s="500"/>
      <c r="F133" s="503"/>
      <c r="G133" s="497"/>
      <c r="H133" s="491"/>
      <c r="I133" s="497"/>
      <c r="J133" s="470"/>
      <c r="K133" s="506"/>
      <c r="L133" s="35" t="s">
        <v>137</v>
      </c>
      <c r="M133" s="65" t="s">
        <v>575</v>
      </c>
      <c r="N133" s="69" t="s">
        <v>576</v>
      </c>
      <c r="O133" s="190" t="str">
        <f ca="1">HYPERLINK("#"&amp; CELL("address",INDEX([0]!lookup_data,MATCH(N133,[0]!lookup_data,0))),N133)</f>
        <v>SW Code Coverage Report</v>
      </c>
    </row>
    <row r="134" spans="1:15" ht="26" x14ac:dyDescent="0.35">
      <c r="A134" s="164"/>
      <c r="B134" s="465"/>
      <c r="C134" s="480"/>
      <c r="D134" s="481"/>
      <c r="E134" s="501"/>
      <c r="F134" s="504"/>
      <c r="G134" s="498"/>
      <c r="H134" s="492"/>
      <c r="I134" s="498"/>
      <c r="J134" s="470"/>
      <c r="K134" s="507"/>
      <c r="L134" s="35" t="s">
        <v>137</v>
      </c>
      <c r="M134" s="65" t="s">
        <v>577</v>
      </c>
      <c r="N134" s="69" t="s">
        <v>578</v>
      </c>
      <c r="O134" s="190" t="str">
        <f ca="1">HYPERLINK("#"&amp; CELL("address",INDEX([0]!lookup_data,MATCH(N134,[0]!lookup_data,0))),N134)</f>
        <v>Static Analysis - MISRA Reports</v>
      </c>
    </row>
    <row r="135" spans="1:15" ht="52" x14ac:dyDescent="0.35">
      <c r="A135" s="164"/>
      <c r="B135" s="465"/>
      <c r="C135" s="479" t="s">
        <v>579</v>
      </c>
      <c r="D135" s="481" t="s">
        <v>580</v>
      </c>
      <c r="E135" s="222" t="s">
        <v>581</v>
      </c>
      <c r="F135" s="174" t="s">
        <v>582</v>
      </c>
      <c r="G135" s="38" t="s">
        <v>137</v>
      </c>
      <c r="H135" s="219" t="s">
        <v>583</v>
      </c>
      <c r="I135" s="38" t="s">
        <v>157</v>
      </c>
      <c r="J135" s="487" t="s">
        <v>584</v>
      </c>
      <c r="K135" s="34"/>
      <c r="L135" s="35" t="s">
        <v>137</v>
      </c>
      <c r="M135" s="65" t="s">
        <v>585</v>
      </c>
      <c r="N135" s="69" t="s">
        <v>544</v>
      </c>
      <c r="O135" s="190" t="str">
        <f ca="1">HYPERLINK("#"&amp; CELL("address",INDEX([0]!lookup_data,MATCH(N135,[0]!lookup_data,0))),N135)</f>
        <v>SW Configuration Management Plan</v>
      </c>
    </row>
    <row r="136" spans="1:15" ht="52" x14ac:dyDescent="0.35">
      <c r="A136" s="164"/>
      <c r="B136" s="465"/>
      <c r="C136" s="480"/>
      <c r="D136" s="481"/>
      <c r="E136" s="222" t="s">
        <v>586</v>
      </c>
      <c r="F136" s="174" t="s">
        <v>587</v>
      </c>
      <c r="G136" s="38" t="s">
        <v>137</v>
      </c>
      <c r="H136" s="219" t="s">
        <v>583</v>
      </c>
      <c r="I136" s="38" t="s">
        <v>157</v>
      </c>
      <c r="J136" s="487"/>
      <c r="K136" s="34"/>
      <c r="L136" s="35" t="s">
        <v>137</v>
      </c>
      <c r="M136" s="65" t="s">
        <v>543</v>
      </c>
      <c r="N136" s="69" t="s">
        <v>544</v>
      </c>
      <c r="O136" s="190" t="str">
        <f ca="1">HYPERLINK("#"&amp; CELL("address",INDEX([0]!lookup_data,MATCH(N136,[0]!lookup_data,0))),N136)</f>
        <v>SW Configuration Management Plan</v>
      </c>
    </row>
    <row r="137" spans="1:15" ht="65" x14ac:dyDescent="0.35">
      <c r="A137" s="164"/>
      <c r="B137" s="465"/>
      <c r="C137" s="479" t="s">
        <v>588</v>
      </c>
      <c r="D137" s="481" t="s">
        <v>589</v>
      </c>
      <c r="E137" s="222" t="s">
        <v>590</v>
      </c>
      <c r="F137" s="223" t="s">
        <v>591</v>
      </c>
      <c r="G137" s="38" t="s">
        <v>137</v>
      </c>
      <c r="H137" s="219" t="s">
        <v>592</v>
      </c>
      <c r="I137" s="38" t="s">
        <v>593</v>
      </c>
      <c r="J137" s="487" t="s">
        <v>594</v>
      </c>
      <c r="K137" s="155"/>
      <c r="L137" s="35" t="s">
        <v>137</v>
      </c>
      <c r="M137" s="65" t="s">
        <v>595</v>
      </c>
      <c r="N137" s="69" t="s">
        <v>596</v>
      </c>
      <c r="O137" s="190" t="str">
        <f ca="1">HYPERLINK("#"&amp; CELL("address",INDEX([0]!lookup_data,MATCH(N137,[0]!lookup_data,0))),N137)</f>
        <v>SW Tool Criteria Evaluation &amp; Qualification Report</v>
      </c>
    </row>
    <row r="138" spans="1:15" ht="65" x14ac:dyDescent="0.35">
      <c r="A138" s="164"/>
      <c r="B138" s="465"/>
      <c r="C138" s="480"/>
      <c r="D138" s="481"/>
      <c r="E138" s="222" t="s">
        <v>597</v>
      </c>
      <c r="F138" s="174" t="s">
        <v>598</v>
      </c>
      <c r="G138" s="38" t="s">
        <v>137</v>
      </c>
      <c r="H138" s="219" t="s">
        <v>599</v>
      </c>
      <c r="I138" s="38" t="s">
        <v>600</v>
      </c>
      <c r="J138" s="487"/>
      <c r="K138" s="155"/>
      <c r="L138" s="35" t="s">
        <v>137</v>
      </c>
      <c r="M138" s="65" t="s">
        <v>595</v>
      </c>
      <c r="N138" s="69" t="s">
        <v>596</v>
      </c>
      <c r="O138" s="190" t="str">
        <f ca="1">HYPERLINK("#"&amp; CELL("address",INDEX([0]!lookup_data,MATCH(N138,[0]!lookup_data,0))),N138)</f>
        <v>SW Tool Criteria Evaluation &amp; Qualification Report</v>
      </c>
    </row>
    <row r="139" spans="1:15" ht="65" hidden="1" x14ac:dyDescent="0.35">
      <c r="A139" s="164"/>
      <c r="B139" s="465"/>
      <c r="C139" s="479" t="s">
        <v>601</v>
      </c>
      <c r="D139" s="481" t="s">
        <v>602</v>
      </c>
      <c r="E139" s="222" t="s">
        <v>603</v>
      </c>
      <c r="F139" s="174" t="s">
        <v>604</v>
      </c>
      <c r="G139" s="38" t="s">
        <v>164</v>
      </c>
      <c r="H139" s="219" t="str">
        <f>IF($H$1="HW","No SW development, scope is for HW SEooC only","All SW modules follow a new development which is ISO 26262 compliant. Hence, SW Component Qualification is not applied")</f>
        <v>All SW modules follow a new development which is ISO 26262 compliant. Hence, SW Component Qualification is not applied</v>
      </c>
      <c r="I139" s="38"/>
      <c r="J139" s="219"/>
      <c r="K139" s="155"/>
      <c r="L139" s="35" t="s">
        <v>164</v>
      </c>
      <c r="M139" s="65" t="s">
        <v>251</v>
      </c>
      <c r="N139" s="35"/>
      <c r="O139" s="35"/>
    </row>
    <row r="140" spans="1:15" ht="65" hidden="1" x14ac:dyDescent="0.35">
      <c r="A140" s="164"/>
      <c r="B140" s="465"/>
      <c r="C140" s="489"/>
      <c r="D140" s="481"/>
      <c r="E140" s="222" t="s">
        <v>605</v>
      </c>
      <c r="F140" s="174" t="s">
        <v>606</v>
      </c>
      <c r="G140" s="38" t="s">
        <v>164</v>
      </c>
      <c r="H140" s="219" t="str">
        <f>IF($H$1="HW","No SW development, scope is for HW SEooC only","All SW modules follow a new development which is ISO 26262 compliant. Hence, SW Component Qualification is not applied")</f>
        <v>All SW modules follow a new development which is ISO 26262 compliant. Hence, SW Component Qualification is not applied</v>
      </c>
      <c r="I140" s="38"/>
      <c r="J140" s="219"/>
      <c r="K140" s="155"/>
      <c r="L140" s="35" t="s">
        <v>164</v>
      </c>
      <c r="M140" s="65" t="s">
        <v>251</v>
      </c>
      <c r="N140" s="35"/>
      <c r="O140" s="35"/>
    </row>
    <row r="141" spans="1:15" ht="41.4" hidden="1" customHeight="1" x14ac:dyDescent="0.35">
      <c r="A141" s="164"/>
      <c r="B141" s="465"/>
      <c r="C141" s="489"/>
      <c r="D141" s="481"/>
      <c r="E141" s="222" t="s">
        <v>607</v>
      </c>
      <c r="F141" s="174" t="s">
        <v>608</v>
      </c>
      <c r="G141" s="38" t="s">
        <v>164</v>
      </c>
      <c r="H141" s="219" t="str">
        <f>IF($H$1="HW","No SW development, scope is for HW SEooC only","All SW modules follow a new development which is ISO 26262 compliant. Hence, SW Component Qualification is not applied")</f>
        <v>All SW modules follow a new development which is ISO 26262 compliant. Hence, SW Component Qualification is not applied</v>
      </c>
      <c r="I141" s="38"/>
      <c r="J141" s="219"/>
      <c r="K141" s="155"/>
      <c r="L141" s="35" t="s">
        <v>164</v>
      </c>
      <c r="M141" s="65" t="s">
        <v>251</v>
      </c>
      <c r="N141" s="35"/>
      <c r="O141" s="35"/>
    </row>
    <row r="142" spans="1:15" ht="26" hidden="1" x14ac:dyDescent="0.35">
      <c r="A142" s="164"/>
      <c r="B142" s="465"/>
      <c r="C142" s="479" t="s">
        <v>609</v>
      </c>
      <c r="D142" s="481" t="s">
        <v>610</v>
      </c>
      <c r="E142" s="222" t="s">
        <v>611</v>
      </c>
      <c r="F142" s="174" t="s">
        <v>612</v>
      </c>
      <c r="G142" s="38" t="str">
        <f>IF($H$1="SW","No","Yes")</f>
        <v>No</v>
      </c>
      <c r="H142" s="219" t="str">
        <f>IF($H$1="SW","No HW development, scope is for SW SEooC only","Specific HW evaluation plan for QM HW elements (e.g HW IP)  which need to be used un-modified within the safety concept")</f>
        <v>No HW development, scope is for SW SEooC only</v>
      </c>
      <c r="I142" s="38" t="s">
        <v>613</v>
      </c>
      <c r="J142" s="487" t="s">
        <v>614</v>
      </c>
      <c r="K142" s="155"/>
      <c r="L142" s="35" t="s">
        <v>164</v>
      </c>
      <c r="M142" s="65" t="s">
        <v>251</v>
      </c>
      <c r="N142" s="35"/>
      <c r="O142" s="35"/>
    </row>
    <row r="143" spans="1:15" ht="26" hidden="1" x14ac:dyDescent="0.35">
      <c r="A143" s="164"/>
      <c r="B143" s="465"/>
      <c r="C143" s="489"/>
      <c r="D143" s="481"/>
      <c r="E143" s="222" t="s">
        <v>615</v>
      </c>
      <c r="F143" s="174" t="s">
        <v>616</v>
      </c>
      <c r="G143" s="38" t="str">
        <f>IF($H$1="SW","No","Yes")</f>
        <v>No</v>
      </c>
      <c r="H143" s="219" t="str">
        <f>IF($H$1="SW","No HW development, scope is for SW SEooC only","Specific HW evaluation test plan for QM HW elements (e.g HW IP)  which need to be used un-modified within the safety concept")</f>
        <v>No HW development, scope is for SW SEooC only</v>
      </c>
      <c r="I143" s="38" t="s">
        <v>613</v>
      </c>
      <c r="J143" s="487"/>
      <c r="K143" s="155"/>
      <c r="L143" s="35" t="s">
        <v>164</v>
      </c>
      <c r="M143" s="65" t="s">
        <v>251</v>
      </c>
      <c r="N143" s="35"/>
      <c r="O143" s="35"/>
    </row>
    <row r="144" spans="1:15" ht="26" hidden="1" x14ac:dyDescent="0.35">
      <c r="A144" s="164"/>
      <c r="B144" s="465"/>
      <c r="C144" s="480"/>
      <c r="D144" s="481"/>
      <c r="E144" s="222" t="s">
        <v>617</v>
      </c>
      <c r="F144" s="174" t="s">
        <v>618</v>
      </c>
      <c r="G144" s="38" t="str">
        <f>IF($H$1="SW","No","Yes")</f>
        <v>No</v>
      </c>
      <c r="H144" s="219" t="str">
        <f>IF($H$1="SW","No HW development, scope is for SW SEooC only","Specific HW evaluation report for QM HW elements (e.g HW IP)  which need to be used un-modified within the safety concept")</f>
        <v>No HW development, scope is for SW SEooC only</v>
      </c>
      <c r="I144" s="38" t="s">
        <v>613</v>
      </c>
      <c r="J144" s="487"/>
      <c r="K144" s="155"/>
      <c r="L144" s="35" t="s">
        <v>164</v>
      </c>
      <c r="M144" s="65" t="s">
        <v>251</v>
      </c>
      <c r="N144" s="35"/>
      <c r="O144" s="35"/>
    </row>
    <row r="145" spans="1:15" ht="26" hidden="1" x14ac:dyDescent="0.35">
      <c r="A145" s="164"/>
      <c r="B145" s="465"/>
      <c r="C145" s="464" t="s">
        <v>619</v>
      </c>
      <c r="D145" s="464" t="s">
        <v>620</v>
      </c>
      <c r="E145" s="222" t="s">
        <v>621</v>
      </c>
      <c r="F145" s="174" t="s">
        <v>622</v>
      </c>
      <c r="G145" s="38" t="s">
        <v>164</v>
      </c>
      <c r="H145" s="219" t="s">
        <v>623</v>
      </c>
      <c r="I145" s="38"/>
      <c r="J145" s="219"/>
      <c r="K145" s="155"/>
      <c r="L145" s="35" t="s">
        <v>164</v>
      </c>
      <c r="M145" s="65" t="s">
        <v>251</v>
      </c>
      <c r="N145" s="35"/>
      <c r="O145" s="35"/>
    </row>
    <row r="146" spans="1:15" ht="26" hidden="1" x14ac:dyDescent="0.35">
      <c r="A146" s="164"/>
      <c r="B146" s="466"/>
      <c r="C146" s="466"/>
      <c r="D146" s="466"/>
      <c r="E146" s="222" t="s">
        <v>624</v>
      </c>
      <c r="F146" s="174" t="s">
        <v>625</v>
      </c>
      <c r="G146" s="38" t="s">
        <v>164</v>
      </c>
      <c r="H146" s="219" t="s">
        <v>623</v>
      </c>
      <c r="I146" s="38"/>
      <c r="J146" s="219"/>
      <c r="K146" s="155"/>
      <c r="L146" s="35" t="s">
        <v>164</v>
      </c>
      <c r="M146" s="65" t="s">
        <v>251</v>
      </c>
      <c r="N146" s="35"/>
      <c r="O146" s="35"/>
    </row>
    <row r="147" spans="1:15" hidden="1" x14ac:dyDescent="0.35">
      <c r="A147" s="164"/>
      <c r="B147" s="182"/>
      <c r="C147" s="176"/>
      <c r="D147" s="175"/>
      <c r="E147" s="177"/>
      <c r="F147" s="183"/>
      <c r="G147" s="179"/>
      <c r="H147" s="179"/>
      <c r="I147" s="179"/>
      <c r="J147" s="175"/>
      <c r="K147" s="163"/>
      <c r="L147" s="180"/>
      <c r="M147" s="163"/>
      <c r="N147" s="180"/>
      <c r="O147" s="180"/>
    </row>
    <row r="148" spans="1:15" ht="39" hidden="1" x14ac:dyDescent="0.35">
      <c r="A148" s="164"/>
      <c r="B148" s="464" t="s">
        <v>626</v>
      </c>
      <c r="C148" s="479" t="s">
        <v>627</v>
      </c>
      <c r="D148" s="481" t="s">
        <v>628</v>
      </c>
      <c r="E148" s="222" t="s">
        <v>629</v>
      </c>
      <c r="F148" s="166" t="s">
        <v>630</v>
      </c>
      <c r="G148" s="38" t="s">
        <v>164</v>
      </c>
      <c r="H148" s="219" t="s">
        <v>631</v>
      </c>
      <c r="I148" s="188"/>
      <c r="J148" s="39"/>
      <c r="K148" s="34"/>
      <c r="L148" s="35" t="s">
        <v>164</v>
      </c>
      <c r="M148" s="65" t="s">
        <v>251</v>
      </c>
      <c r="N148" s="35"/>
      <c r="O148" s="35"/>
    </row>
    <row r="149" spans="1:15" ht="39" hidden="1" x14ac:dyDescent="0.35">
      <c r="A149" s="164"/>
      <c r="B149" s="465"/>
      <c r="C149" s="480"/>
      <c r="D149" s="481"/>
      <c r="E149" s="222" t="s">
        <v>632</v>
      </c>
      <c r="F149" s="166" t="s">
        <v>633</v>
      </c>
      <c r="G149" s="38" t="s">
        <v>164</v>
      </c>
      <c r="H149" s="219" t="s">
        <v>631</v>
      </c>
      <c r="I149" s="188"/>
      <c r="J149" s="39"/>
      <c r="K149" s="34"/>
      <c r="L149" s="35" t="s">
        <v>164</v>
      </c>
      <c r="M149" s="65" t="s">
        <v>251</v>
      </c>
      <c r="N149" s="35"/>
      <c r="O149" s="35"/>
    </row>
    <row r="150" spans="1:15" ht="117" hidden="1" x14ac:dyDescent="0.35">
      <c r="A150" s="164"/>
      <c r="B150" s="465"/>
      <c r="C150" s="173" t="s">
        <v>634</v>
      </c>
      <c r="D150" s="221" t="s">
        <v>635</v>
      </c>
      <c r="E150" s="222" t="s">
        <v>636</v>
      </c>
      <c r="F150" s="166" t="s">
        <v>637</v>
      </c>
      <c r="G150" s="38" t="str">
        <f>IF($H$1="SW","No","Yes")</f>
        <v>No</v>
      </c>
      <c r="H150" s="219" t="str">
        <f>IF($H$1="SW","Not in scope for SW components developed by NXP. Only applicable for applications integrating multiple SW components. (e.g. as performed by OEM or Tier 1)","Analysis done on HW component level (i.e. not item or system)")</f>
        <v>Not in scope for SW components developed by NXP. Only applicable for applications integrating multiple SW components. (e.g. as performed by OEM or Tier 1)</v>
      </c>
      <c r="I150" s="38" t="s">
        <v>638</v>
      </c>
      <c r="J150" s="219" t="s">
        <v>639</v>
      </c>
      <c r="K150" s="34"/>
      <c r="L150" s="35" t="s">
        <v>164</v>
      </c>
      <c r="M150" s="65" t="s">
        <v>251</v>
      </c>
      <c r="N150" s="35"/>
      <c r="O150" s="35"/>
    </row>
    <row r="151" spans="1:15" ht="130" hidden="1" x14ac:dyDescent="0.35">
      <c r="A151" s="164"/>
      <c r="B151" s="465"/>
      <c r="C151" s="173" t="s">
        <v>640</v>
      </c>
      <c r="D151" s="221" t="s">
        <v>641</v>
      </c>
      <c r="E151" s="222" t="s">
        <v>642</v>
      </c>
      <c r="F151" s="166" t="s">
        <v>640</v>
      </c>
      <c r="G151" s="38" t="str">
        <f>IF($H$1="SW","No","Yes")</f>
        <v>No</v>
      </c>
      <c r="H151" s="219" t="str">
        <f>IF($H$1="SW","Not in scope for SW components developed by NXP. Only applicable for applications integrating multiple SW components. (e.g. as performed by OEM or Tier 1)","Analysis done on HW component level (i.e. not item or system)")</f>
        <v>Not in scope for SW components developed by NXP. Only applicable for applications integrating multiple SW components. (e.g. as performed by OEM or Tier 1)</v>
      </c>
      <c r="I151" s="38" t="s">
        <v>638</v>
      </c>
      <c r="J151" s="219" t="s">
        <v>643</v>
      </c>
      <c r="K151" s="34"/>
      <c r="L151" s="35" t="s">
        <v>164</v>
      </c>
      <c r="M151" s="65" t="s">
        <v>251</v>
      </c>
      <c r="N151" s="35"/>
      <c r="O151" s="35"/>
    </row>
    <row r="152" spans="1:15" ht="143" x14ac:dyDescent="0.35">
      <c r="A152" s="164"/>
      <c r="B152" s="465"/>
      <c r="C152" s="464" t="s">
        <v>644</v>
      </c>
      <c r="D152" s="464" t="s">
        <v>645</v>
      </c>
      <c r="E152" s="222" t="s">
        <v>646</v>
      </c>
      <c r="F152" s="224" t="s">
        <v>647</v>
      </c>
      <c r="G152" s="38" t="s">
        <v>137</v>
      </c>
      <c r="H152" s="219" t="s">
        <v>145</v>
      </c>
      <c r="I152" s="38" t="s">
        <v>648</v>
      </c>
      <c r="J152" s="219" t="s">
        <v>649</v>
      </c>
      <c r="K152" s="34"/>
      <c r="L152" s="35" t="s">
        <v>137</v>
      </c>
      <c r="M152" s="65" t="s">
        <v>650</v>
      </c>
      <c r="N152" s="69" t="s">
        <v>392</v>
      </c>
      <c r="O152" s="190" t="str">
        <f ca="1">HYPERLINK("#"&amp; CELL("address",INDEX([0]!lookup_data,MATCH(N152,[0]!lookup_data,0))),N152)</f>
        <v>SW Safety Analysis (eg SW FMEA) for  Explicit safety projects. Note that for Implicit safety, the FMEA is required at EAR in A version; no initial version.</v>
      </c>
    </row>
    <row r="153" spans="1:15" ht="117" x14ac:dyDescent="0.35">
      <c r="A153" s="164"/>
      <c r="B153" s="466"/>
      <c r="C153" s="466"/>
      <c r="D153" s="466"/>
      <c r="E153" s="222" t="s">
        <v>651</v>
      </c>
      <c r="F153" s="224" t="s">
        <v>652</v>
      </c>
      <c r="G153" s="38" t="s">
        <v>137</v>
      </c>
      <c r="H153" s="219" t="s">
        <v>145</v>
      </c>
      <c r="I153" s="38" t="s">
        <v>653</v>
      </c>
      <c r="J153" s="219" t="s">
        <v>654</v>
      </c>
      <c r="K153" s="34"/>
      <c r="L153" s="35" t="s">
        <v>137</v>
      </c>
      <c r="M153" s="65" t="s">
        <v>655</v>
      </c>
      <c r="N153" s="69" t="s">
        <v>392</v>
      </c>
      <c r="O153" s="190" t="str">
        <f ca="1">HYPERLINK("#"&amp; CELL("address",INDEX([0]!lookup_data,MATCH(N153,[0]!lookup_data,0))),N153)</f>
        <v>SW Safety Analysis (eg SW FMEA) for  Explicit safety projects. Note that for Implicit safety, the FMEA is required at EAR in A version; no initial version.</v>
      </c>
    </row>
    <row r="154" spans="1:15" x14ac:dyDescent="0.35">
      <c r="J154" s="189"/>
    </row>
  </sheetData>
  <autoFilter ref="B6:O153" xr:uid="{00000000-0009-0000-0000-000002000000}">
    <filterColumn colId="5">
      <filters blank="1">
        <filter val="Yes"/>
      </filters>
    </filterColumn>
    <filterColumn colId="10">
      <filters>
        <filter val="Yes"/>
      </filters>
    </filterColumn>
  </autoFilter>
  <mergeCells count="144">
    <mergeCell ref="E76:E77"/>
    <mergeCell ref="F76:F77"/>
    <mergeCell ref="G76:G77"/>
    <mergeCell ref="H76:H77"/>
    <mergeCell ref="I76:I77"/>
    <mergeCell ref="J76:J77"/>
    <mergeCell ref="K76:K77"/>
    <mergeCell ref="L76:L77"/>
    <mergeCell ref="M76:M77"/>
    <mergeCell ref="E132:E134"/>
    <mergeCell ref="F132:F134"/>
    <mergeCell ref="G132:G134"/>
    <mergeCell ref="H132:H134"/>
    <mergeCell ref="I132:I134"/>
    <mergeCell ref="K132:K134"/>
    <mergeCell ref="F80:F83"/>
    <mergeCell ref="G80:G83"/>
    <mergeCell ref="H80:H83"/>
    <mergeCell ref="I80:I83"/>
    <mergeCell ref="J80:J83"/>
    <mergeCell ref="K80:K83"/>
    <mergeCell ref="J120:J124"/>
    <mergeCell ref="J126:J129"/>
    <mergeCell ref="J130:J134"/>
    <mergeCell ref="J106:J109"/>
    <mergeCell ref="B148:B153"/>
    <mergeCell ref="C148:C149"/>
    <mergeCell ref="D148:D149"/>
    <mergeCell ref="C152:C153"/>
    <mergeCell ref="D152:D153"/>
    <mergeCell ref="E80:E83"/>
    <mergeCell ref="C139:C141"/>
    <mergeCell ref="D139:D141"/>
    <mergeCell ref="C142:C144"/>
    <mergeCell ref="D142:D144"/>
    <mergeCell ref="B120:B146"/>
    <mergeCell ref="C120:C124"/>
    <mergeCell ref="D120:D124"/>
    <mergeCell ref="C126:C129"/>
    <mergeCell ref="D126:D129"/>
    <mergeCell ref="C130:C134"/>
    <mergeCell ref="D130:D134"/>
    <mergeCell ref="B106:B118"/>
    <mergeCell ref="C106:C115"/>
    <mergeCell ref="D106:D115"/>
    <mergeCell ref="C116:C117"/>
    <mergeCell ref="D116:D117"/>
    <mergeCell ref="C92:C94"/>
    <mergeCell ref="D92:D94"/>
    <mergeCell ref="J142:J144"/>
    <mergeCell ref="C145:C146"/>
    <mergeCell ref="D145:D146"/>
    <mergeCell ref="C135:C136"/>
    <mergeCell ref="D135:D136"/>
    <mergeCell ref="J135:J136"/>
    <mergeCell ref="C137:C138"/>
    <mergeCell ref="D137:D138"/>
    <mergeCell ref="J137:J138"/>
    <mergeCell ref="C95:C96"/>
    <mergeCell ref="D95:D96"/>
    <mergeCell ref="C97:C104"/>
    <mergeCell ref="D97:D104"/>
    <mergeCell ref="B76:B104"/>
    <mergeCell ref="C78:C83"/>
    <mergeCell ref="D78:D83"/>
    <mergeCell ref="C84:C87"/>
    <mergeCell ref="D84:D87"/>
    <mergeCell ref="C88:C89"/>
    <mergeCell ref="D88:D89"/>
    <mergeCell ref="C90:C91"/>
    <mergeCell ref="D90:D91"/>
    <mergeCell ref="C76:C77"/>
    <mergeCell ref="D76:D77"/>
    <mergeCell ref="K67:K70"/>
    <mergeCell ref="K71:K74"/>
    <mergeCell ref="C67:C74"/>
    <mergeCell ref="D67:D74"/>
    <mergeCell ref="E67:E70"/>
    <mergeCell ref="F67:F70"/>
    <mergeCell ref="G67:G70"/>
    <mergeCell ref="H67:H70"/>
    <mergeCell ref="E71:E74"/>
    <mergeCell ref="F71:F74"/>
    <mergeCell ref="G71:G74"/>
    <mergeCell ref="H71:H74"/>
    <mergeCell ref="F57:F59"/>
    <mergeCell ref="C62:C63"/>
    <mergeCell ref="D62:D63"/>
    <mergeCell ref="J62:J63"/>
    <mergeCell ref="C64:C66"/>
    <mergeCell ref="D64:D66"/>
    <mergeCell ref="J64:J66"/>
    <mergeCell ref="B50:B74"/>
    <mergeCell ref="C50:C52"/>
    <mergeCell ref="D50:D52"/>
    <mergeCell ref="J50:J52"/>
    <mergeCell ref="C53:C61"/>
    <mergeCell ref="D53:D61"/>
    <mergeCell ref="E53:E56"/>
    <mergeCell ref="F53:F56"/>
    <mergeCell ref="J53:J61"/>
    <mergeCell ref="E57:E59"/>
    <mergeCell ref="J67:J74"/>
    <mergeCell ref="D6:D7"/>
    <mergeCell ref="E6:E7"/>
    <mergeCell ref="F6:F7"/>
    <mergeCell ref="G6:G7"/>
    <mergeCell ref="B38:B48"/>
    <mergeCell ref="C38:C44"/>
    <mergeCell ref="D38:D44"/>
    <mergeCell ref="C45:C46"/>
    <mergeCell ref="D45:D46"/>
    <mergeCell ref="C47:C48"/>
    <mergeCell ref="D47:D48"/>
    <mergeCell ref="F17:F28"/>
    <mergeCell ref="B32:B36"/>
    <mergeCell ref="C33:C34"/>
    <mergeCell ref="D33:D34"/>
    <mergeCell ref="C35:C36"/>
    <mergeCell ref="D35:D36"/>
    <mergeCell ref="D3:F4"/>
    <mergeCell ref="G3:J4"/>
    <mergeCell ref="L3:O4"/>
    <mergeCell ref="D5:F5"/>
    <mergeCell ref="G5:H5"/>
    <mergeCell ref="L5:M5"/>
    <mergeCell ref="N6:N7"/>
    <mergeCell ref="O6:O7"/>
    <mergeCell ref="B9:B30"/>
    <mergeCell ref="C9:C12"/>
    <mergeCell ref="D9:D12"/>
    <mergeCell ref="J9:J12"/>
    <mergeCell ref="C13:C29"/>
    <mergeCell ref="D13:D29"/>
    <mergeCell ref="J15:J28"/>
    <mergeCell ref="E17:E28"/>
    <mergeCell ref="H6:H7"/>
    <mergeCell ref="I6:I7"/>
    <mergeCell ref="J6:J7"/>
    <mergeCell ref="K6:K7"/>
    <mergeCell ref="L6:L7"/>
    <mergeCell ref="M6:M7"/>
    <mergeCell ref="B6:B7"/>
    <mergeCell ref="C6:C7"/>
  </mergeCells>
  <hyperlinks>
    <hyperlink ref="I11" r:id="rId1" xr:uid="{0D035707-0309-4A23-9A4A-8F8BC70F8B29}"/>
    <hyperlink ref="N1" location="CIB_Deliverables!A1" display="Configuration Item Baseline" xr:uid="{0DA063B9-88D0-437B-A902-307398318EA8}"/>
  </hyperlinks>
  <pageMargins left="0.7" right="0.7" top="0.75" bottom="0.75" header="0.3" footer="0.3"/>
  <pageSetup paperSize="9" orientation="portrait" r:id="rId2"/>
  <extLst>
    <ext xmlns:x14="http://schemas.microsoft.com/office/spreadsheetml/2009/9/main" uri="{CCE6A557-97BC-4b89-ADB6-D9C93CAAB3DF}">
      <x14:dataValidations xmlns:xm="http://schemas.microsoft.com/office/excel/2006/main" count="2">
        <x14:dataValidation type="list" allowBlank="1" showInputMessage="1" showErrorMessage="1" xr:uid="{6A399495-3D01-4AF9-A8CB-AECEB8A5BC1E}">
          <x14:formula1>
            <xm:f>Sheet1!$C$3:$C$4</xm:f>
          </x14:formula1>
          <xm:sqref>H1</xm:sqref>
        </x14:dataValidation>
        <x14:dataValidation type="list" allowBlank="1" showInputMessage="1" showErrorMessage="1" xr:uid="{DF8F59E0-F516-4D70-8356-2BB875B0C82F}">
          <x14:formula1>
            <xm:f>Sheet1!$D$3:$D$6</xm:f>
          </x14:formula1>
          <xm:sqref>H2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B82E5-A075-4E71-86DE-59CE26F2C4A9}">
  <dimension ref="A1:Z70"/>
  <sheetViews>
    <sheetView topLeftCell="A15" zoomScale="80" zoomScaleNormal="80" workbookViewId="0">
      <selection activeCell="D17" sqref="D17:D29"/>
    </sheetView>
  </sheetViews>
  <sheetFormatPr defaultColWidth="9.08984375" defaultRowHeight="14" x14ac:dyDescent="0.35"/>
  <cols>
    <col min="1" max="1" width="4.54296875" style="78" customWidth="1"/>
    <col min="2" max="2" width="45.453125" style="79" customWidth="1"/>
    <col min="3" max="3" width="27" style="79" customWidth="1"/>
    <col min="4" max="4" width="33.6328125" style="79" customWidth="1"/>
    <col min="5" max="5" width="31.6328125" style="79" customWidth="1"/>
    <col min="6" max="6" width="38" style="79" customWidth="1"/>
    <col min="7" max="7" width="33.36328125" style="79" customWidth="1"/>
    <col min="8" max="8" width="18" style="80" customWidth="1"/>
    <col min="9" max="9" width="27.54296875" style="79" customWidth="1"/>
    <col min="10" max="10" width="23.36328125" style="78" customWidth="1"/>
    <col min="11" max="26" width="9.08984375" style="78"/>
    <col min="27" max="16384" width="9.08984375" style="79"/>
  </cols>
  <sheetData>
    <row r="1" spans="1:26" s="78" customFormat="1" x14ac:dyDescent="0.35">
      <c r="D1" s="79"/>
      <c r="H1" s="80"/>
    </row>
    <row r="2" spans="1:26" ht="15.5" x14ac:dyDescent="0.35">
      <c r="B2" s="512" t="s">
        <v>656</v>
      </c>
      <c r="C2" s="513"/>
      <c r="D2" s="513"/>
      <c r="E2" s="513"/>
      <c r="F2" s="513"/>
      <c r="G2" s="513"/>
      <c r="H2" s="513"/>
      <c r="I2" s="514"/>
    </row>
    <row r="3" spans="1:26" s="78" customFormat="1" ht="14.5" thickBot="1" x14ac:dyDescent="0.4">
      <c r="D3" s="79"/>
      <c r="H3" s="80"/>
    </row>
    <row r="4" spans="1:26" s="83" customFormat="1" ht="29.25" customHeight="1" x14ac:dyDescent="0.35">
      <c r="A4" s="81"/>
      <c r="B4" s="77" t="s">
        <v>657</v>
      </c>
      <c r="C4" s="82"/>
      <c r="D4" s="81"/>
      <c r="E4" s="81"/>
      <c r="F4" s="81"/>
      <c r="G4" s="81"/>
      <c r="H4" s="81"/>
      <c r="I4" s="81"/>
      <c r="J4" s="81"/>
      <c r="K4" s="81"/>
      <c r="L4" s="81"/>
      <c r="M4" s="81"/>
      <c r="N4" s="81"/>
      <c r="O4" s="81"/>
      <c r="P4" s="81"/>
      <c r="Q4" s="81"/>
      <c r="R4" s="81"/>
      <c r="S4" s="81"/>
      <c r="T4" s="81"/>
      <c r="U4" s="81"/>
      <c r="V4" s="81"/>
      <c r="W4" s="81"/>
      <c r="X4" s="81"/>
      <c r="Y4" s="81"/>
      <c r="Z4" s="81"/>
    </row>
    <row r="5" spans="1:26" s="83" customFormat="1" ht="29.25" customHeight="1" x14ac:dyDescent="0.35">
      <c r="A5" s="81"/>
      <c r="B5" s="77" t="s">
        <v>658</v>
      </c>
      <c r="C5" s="84"/>
      <c r="D5" s="81"/>
      <c r="E5" s="81"/>
      <c r="F5" s="81"/>
      <c r="G5" s="81"/>
      <c r="H5" s="81"/>
      <c r="I5" s="81"/>
      <c r="J5" s="81"/>
      <c r="K5" s="81"/>
      <c r="L5" s="81"/>
      <c r="M5" s="81"/>
      <c r="N5" s="81"/>
      <c r="O5" s="81"/>
      <c r="P5" s="81"/>
      <c r="Q5" s="81"/>
      <c r="R5" s="81"/>
      <c r="S5" s="81"/>
      <c r="T5" s="81"/>
      <c r="U5" s="81"/>
      <c r="V5" s="81"/>
      <c r="W5" s="81"/>
      <c r="X5" s="81"/>
      <c r="Y5" s="81"/>
      <c r="Z5" s="81"/>
    </row>
    <row r="6" spans="1:26" s="83" customFormat="1" ht="29.25" customHeight="1" x14ac:dyDescent="0.35">
      <c r="A6" s="81"/>
      <c r="B6" s="77" t="s">
        <v>659</v>
      </c>
      <c r="C6" s="85"/>
      <c r="D6" s="81"/>
      <c r="E6" s="81"/>
      <c r="F6" s="81"/>
      <c r="G6" s="81"/>
      <c r="H6" s="81"/>
      <c r="I6" s="81"/>
      <c r="J6" s="81"/>
      <c r="K6" s="81"/>
      <c r="L6" s="81"/>
      <c r="M6" s="81"/>
      <c r="N6" s="81"/>
      <c r="O6" s="81"/>
      <c r="P6" s="81"/>
      <c r="Q6" s="81"/>
      <c r="R6" s="81"/>
      <c r="S6" s="81"/>
      <c r="T6" s="81"/>
      <c r="U6" s="81"/>
      <c r="V6" s="81"/>
      <c r="W6" s="81"/>
      <c r="X6" s="81"/>
      <c r="Y6" s="81"/>
      <c r="Z6" s="81"/>
    </row>
    <row r="7" spans="1:26" s="83" customFormat="1" ht="29.25" customHeight="1" x14ac:dyDescent="0.35">
      <c r="A7" s="81"/>
      <c r="B7" s="77" t="s">
        <v>660</v>
      </c>
      <c r="C7" s="84"/>
      <c r="D7" s="81"/>
      <c r="E7" s="81"/>
      <c r="F7" s="81"/>
      <c r="G7" s="81"/>
      <c r="H7" s="81"/>
      <c r="I7" s="81"/>
      <c r="J7" s="81"/>
      <c r="K7" s="81"/>
      <c r="L7" s="81"/>
      <c r="M7" s="81"/>
      <c r="N7" s="81"/>
      <c r="O7" s="81"/>
      <c r="P7" s="81"/>
      <c r="Q7" s="81"/>
      <c r="R7" s="81"/>
      <c r="S7" s="81"/>
      <c r="T7" s="81"/>
      <c r="U7" s="81"/>
      <c r="V7" s="81"/>
      <c r="W7" s="81"/>
      <c r="X7" s="81"/>
      <c r="Y7" s="81"/>
      <c r="Z7" s="81"/>
    </row>
    <row r="8" spans="1:26" s="83" customFormat="1" ht="29.25" customHeight="1" x14ac:dyDescent="0.35">
      <c r="A8" s="81"/>
      <c r="B8" s="77" t="s">
        <v>661</v>
      </c>
      <c r="C8" s="84"/>
      <c r="D8" s="81"/>
      <c r="E8" s="81"/>
      <c r="F8" s="81"/>
      <c r="G8" s="81"/>
      <c r="H8" s="81"/>
      <c r="I8" s="81"/>
      <c r="J8" s="81"/>
      <c r="K8" s="81"/>
      <c r="L8" s="81"/>
      <c r="M8" s="81"/>
      <c r="N8" s="81"/>
      <c r="O8" s="81"/>
      <c r="P8" s="81"/>
      <c r="Q8" s="81"/>
      <c r="R8" s="81"/>
      <c r="S8" s="81"/>
      <c r="T8" s="81"/>
      <c r="U8" s="81"/>
      <c r="V8" s="81"/>
      <c r="W8" s="81"/>
      <c r="X8" s="81"/>
      <c r="Y8" s="81"/>
      <c r="Z8" s="81"/>
    </row>
    <row r="9" spans="1:26" s="83" customFormat="1" ht="29.25" customHeight="1" x14ac:dyDescent="0.35">
      <c r="A9" s="81"/>
      <c r="B9" s="77" t="s">
        <v>662</v>
      </c>
      <c r="C9" s="84"/>
      <c r="D9" s="81"/>
      <c r="E9" s="81"/>
      <c r="F9" s="81"/>
      <c r="G9" s="81"/>
      <c r="H9" s="81"/>
      <c r="I9" s="81"/>
      <c r="J9" s="81"/>
      <c r="K9" s="81"/>
      <c r="L9" s="81"/>
      <c r="M9" s="81"/>
      <c r="N9" s="81"/>
      <c r="O9" s="81"/>
      <c r="P9" s="81"/>
      <c r="Q9" s="81"/>
      <c r="R9" s="81"/>
      <c r="S9" s="81"/>
      <c r="T9" s="81"/>
      <c r="U9" s="81"/>
      <c r="V9" s="81"/>
      <c r="W9" s="81"/>
      <c r="X9" s="81"/>
      <c r="Y9" s="81"/>
      <c r="Z9" s="81"/>
    </row>
    <row r="10" spans="1:26" s="83" customFormat="1" ht="29.25" customHeight="1" x14ac:dyDescent="0.35">
      <c r="A10" s="81"/>
      <c r="B10" s="77" t="s">
        <v>663</v>
      </c>
      <c r="C10" s="84"/>
      <c r="D10" s="81"/>
      <c r="E10" s="81"/>
      <c r="F10" s="81"/>
      <c r="G10" s="81"/>
      <c r="H10" s="81"/>
      <c r="I10" s="81"/>
      <c r="J10" s="81"/>
      <c r="K10" s="81"/>
      <c r="L10" s="81"/>
      <c r="M10" s="81"/>
      <c r="N10" s="81"/>
      <c r="O10" s="81"/>
      <c r="P10" s="81"/>
      <c r="Q10" s="81"/>
      <c r="R10" s="81"/>
      <c r="S10" s="81"/>
      <c r="T10" s="81"/>
      <c r="U10" s="81"/>
      <c r="V10" s="81"/>
      <c r="W10" s="81"/>
      <c r="X10" s="81"/>
      <c r="Y10" s="81"/>
      <c r="Z10" s="81"/>
    </row>
    <row r="11" spans="1:26" s="83" customFormat="1" ht="29.25" customHeight="1" thickBot="1" x14ac:dyDescent="0.4">
      <c r="A11" s="81"/>
      <c r="B11" s="77" t="s">
        <v>664</v>
      </c>
      <c r="C11" s="86"/>
      <c r="D11" s="81"/>
      <c r="E11" s="81"/>
      <c r="F11" s="81"/>
      <c r="G11" s="81"/>
      <c r="H11" s="81"/>
      <c r="I11" s="81"/>
      <c r="J11" s="81"/>
      <c r="K11" s="81"/>
      <c r="L11" s="81"/>
      <c r="M11" s="81"/>
      <c r="N11" s="81"/>
      <c r="O11" s="81"/>
      <c r="P11" s="81"/>
      <c r="Q11" s="81"/>
      <c r="R11" s="81"/>
      <c r="S11" s="81"/>
      <c r="T11" s="81"/>
      <c r="U11" s="81"/>
      <c r="V11" s="81"/>
      <c r="W11" s="81"/>
      <c r="X11" s="81"/>
      <c r="Y11" s="81"/>
      <c r="Z11" s="81"/>
    </row>
    <row r="12" spans="1:26" s="78" customFormat="1" x14ac:dyDescent="0.35">
      <c r="H12" s="87"/>
    </row>
    <row r="13" spans="1:26" s="78" customFormat="1" x14ac:dyDescent="0.35">
      <c r="H13" s="87"/>
    </row>
    <row r="14" spans="1:26" s="78" customFormat="1" x14ac:dyDescent="0.35">
      <c r="H14" s="87"/>
    </row>
    <row r="15" spans="1:26" s="78" customFormat="1" x14ac:dyDescent="0.35">
      <c r="H15" s="87"/>
    </row>
    <row r="16" spans="1:26" ht="31" x14ac:dyDescent="0.35">
      <c r="B16" s="76" t="s">
        <v>665</v>
      </c>
      <c r="C16" s="76" t="s">
        <v>666</v>
      </c>
      <c r="D16" s="76" t="s">
        <v>667</v>
      </c>
      <c r="E16" s="76" t="s">
        <v>668</v>
      </c>
      <c r="F16" s="76" t="s">
        <v>669</v>
      </c>
      <c r="G16" s="76" t="s">
        <v>670</v>
      </c>
      <c r="H16" s="76" t="s">
        <v>671</v>
      </c>
      <c r="I16" s="76" t="s">
        <v>672</v>
      </c>
    </row>
    <row r="17" spans="2:13" ht="56" x14ac:dyDescent="0.35">
      <c r="B17" s="88" t="s">
        <v>178</v>
      </c>
      <c r="C17" s="88" t="s">
        <v>673</v>
      </c>
      <c r="D17" s="112"/>
      <c r="E17" s="89" t="s">
        <v>674</v>
      </c>
      <c r="F17" s="88" t="s">
        <v>675</v>
      </c>
      <c r="G17" s="89" t="s">
        <v>676</v>
      </c>
      <c r="H17" s="90"/>
      <c r="I17" s="91"/>
      <c r="J17" s="92"/>
    </row>
    <row r="18" spans="2:13" ht="42" customHeight="1" x14ac:dyDescent="0.35">
      <c r="B18" s="88" t="s">
        <v>258</v>
      </c>
      <c r="C18" s="88" t="s">
        <v>677</v>
      </c>
      <c r="D18" s="112"/>
      <c r="E18" s="89" t="s">
        <v>678</v>
      </c>
      <c r="F18" s="88" t="s">
        <v>679</v>
      </c>
      <c r="G18" s="89" t="s">
        <v>680</v>
      </c>
      <c r="H18" s="90"/>
      <c r="I18" s="91"/>
      <c r="J18" s="92"/>
    </row>
    <row r="19" spans="2:13" ht="84" x14ac:dyDescent="0.35">
      <c r="B19" s="88" t="s">
        <v>184</v>
      </c>
      <c r="C19" s="88" t="s">
        <v>681</v>
      </c>
      <c r="D19" s="112"/>
      <c r="E19" s="89" t="s">
        <v>682</v>
      </c>
      <c r="F19" s="88" t="s">
        <v>683</v>
      </c>
      <c r="G19" s="89" t="s">
        <v>684</v>
      </c>
      <c r="H19" s="93"/>
      <c r="I19" s="91"/>
      <c r="J19" s="92"/>
    </row>
    <row r="20" spans="2:13" ht="59.25" customHeight="1" x14ac:dyDescent="0.35">
      <c r="B20" s="88" t="s">
        <v>685</v>
      </c>
      <c r="C20" s="88" t="s">
        <v>686</v>
      </c>
      <c r="D20" s="112"/>
      <c r="E20" s="89" t="s">
        <v>674</v>
      </c>
      <c r="F20" s="88" t="s">
        <v>687</v>
      </c>
      <c r="G20" s="89" t="s">
        <v>676</v>
      </c>
      <c r="H20" s="93"/>
      <c r="I20" s="131"/>
      <c r="J20" s="92"/>
    </row>
    <row r="21" spans="2:13" s="79" customFormat="1" ht="42" x14ac:dyDescent="0.35">
      <c r="B21" s="88" t="s">
        <v>363</v>
      </c>
      <c r="C21" s="94" t="s">
        <v>688</v>
      </c>
      <c r="D21" s="112"/>
      <c r="E21" s="96" t="s">
        <v>689</v>
      </c>
      <c r="F21" s="94" t="s">
        <v>690</v>
      </c>
      <c r="G21" s="96" t="s">
        <v>691</v>
      </c>
      <c r="H21" s="93"/>
      <c r="I21" s="131"/>
    </row>
    <row r="22" spans="2:13" ht="64.5" customHeight="1" x14ac:dyDescent="0.35">
      <c r="B22" s="88" t="s">
        <v>392</v>
      </c>
      <c r="C22" s="94" t="s">
        <v>692</v>
      </c>
      <c r="D22" s="112"/>
      <c r="E22" s="96" t="s">
        <v>693</v>
      </c>
      <c r="F22" s="94" t="s">
        <v>694</v>
      </c>
      <c r="G22" s="96" t="s">
        <v>695</v>
      </c>
      <c r="H22" s="93"/>
      <c r="I22" s="130"/>
    </row>
    <row r="23" spans="2:13" ht="42" x14ac:dyDescent="0.35">
      <c r="B23" s="88" t="s">
        <v>406</v>
      </c>
      <c r="C23" s="94" t="s">
        <v>696</v>
      </c>
      <c r="D23" s="112"/>
      <c r="E23" s="96" t="s">
        <v>697</v>
      </c>
      <c r="F23" s="94" t="s">
        <v>698</v>
      </c>
      <c r="G23" s="96" t="s">
        <v>699</v>
      </c>
      <c r="H23" s="93"/>
      <c r="I23" s="130"/>
    </row>
    <row r="24" spans="2:13" ht="42" x14ac:dyDescent="0.35">
      <c r="B24" s="88" t="s">
        <v>411</v>
      </c>
      <c r="C24" s="94" t="s">
        <v>696</v>
      </c>
      <c r="D24" s="112"/>
      <c r="E24" s="96" t="s">
        <v>693</v>
      </c>
      <c r="F24" s="94" t="s">
        <v>698</v>
      </c>
      <c r="G24" s="96" t="s">
        <v>699</v>
      </c>
      <c r="H24" s="93"/>
      <c r="I24" s="130"/>
    </row>
    <row r="25" spans="2:13" s="79" customFormat="1" ht="28" x14ac:dyDescent="0.35">
      <c r="B25" s="88" t="s">
        <v>372</v>
      </c>
      <c r="C25" s="94" t="s">
        <v>700</v>
      </c>
      <c r="D25" s="112"/>
      <c r="E25" s="96" t="s">
        <v>701</v>
      </c>
      <c r="F25" s="94" t="s">
        <v>702</v>
      </c>
      <c r="G25" s="96" t="s">
        <v>703</v>
      </c>
      <c r="H25" s="93"/>
      <c r="I25" s="130"/>
    </row>
    <row r="26" spans="2:13" ht="28" x14ac:dyDescent="0.35">
      <c r="B26" s="88" t="s">
        <v>704</v>
      </c>
      <c r="C26" s="94" t="s">
        <v>705</v>
      </c>
      <c r="D26" s="112"/>
      <c r="E26" s="96" t="s">
        <v>706</v>
      </c>
      <c r="F26" s="88" t="s">
        <v>707</v>
      </c>
      <c r="G26" s="96" t="s">
        <v>708</v>
      </c>
      <c r="H26" s="93"/>
      <c r="I26" s="95"/>
    </row>
    <row r="27" spans="2:13" ht="28" x14ac:dyDescent="0.35">
      <c r="B27" s="88" t="s">
        <v>709</v>
      </c>
      <c r="C27" s="88" t="s">
        <v>710</v>
      </c>
      <c r="D27" s="112"/>
      <c r="E27" s="89" t="s">
        <v>711</v>
      </c>
      <c r="F27" s="88" t="s">
        <v>712</v>
      </c>
      <c r="G27" s="89" t="s">
        <v>674</v>
      </c>
      <c r="H27" s="93"/>
      <c r="I27" s="131"/>
    </row>
    <row r="28" spans="2:13" ht="42" x14ac:dyDescent="0.35">
      <c r="B28" s="94" t="s">
        <v>596</v>
      </c>
      <c r="C28" s="94" t="s">
        <v>713</v>
      </c>
      <c r="D28" s="112"/>
      <c r="E28" s="96" t="s">
        <v>714</v>
      </c>
      <c r="F28" s="94" t="s">
        <v>715</v>
      </c>
      <c r="G28" s="96" t="s">
        <v>682</v>
      </c>
      <c r="H28" s="93"/>
      <c r="I28" s="131"/>
    </row>
    <row r="29" spans="2:13" ht="42" x14ac:dyDescent="0.35">
      <c r="B29" s="94" t="s">
        <v>205</v>
      </c>
      <c r="C29" s="94" t="s">
        <v>716</v>
      </c>
      <c r="D29" s="112"/>
      <c r="E29" s="96" t="s">
        <v>717</v>
      </c>
      <c r="F29" s="94" t="s">
        <v>718</v>
      </c>
      <c r="G29" s="96" t="s">
        <v>719</v>
      </c>
      <c r="H29" s="93"/>
      <c r="I29" s="95"/>
      <c r="J29" s="79"/>
      <c r="K29" s="79"/>
      <c r="L29" s="79"/>
      <c r="M29" s="79"/>
    </row>
    <row r="30" spans="2:13" x14ac:dyDescent="0.35">
      <c r="B30" s="92"/>
      <c r="C30" s="92"/>
      <c r="D30" s="92"/>
      <c r="E30" s="92"/>
      <c r="F30" s="92"/>
      <c r="G30" s="92"/>
      <c r="H30" s="92"/>
      <c r="I30" s="92"/>
      <c r="J30" s="79"/>
      <c r="K30" s="79"/>
      <c r="L30" s="79"/>
      <c r="M30" s="79"/>
    </row>
    <row r="31" spans="2:13" x14ac:dyDescent="0.35">
      <c r="B31" s="98"/>
      <c r="C31" s="92"/>
      <c r="D31" s="92"/>
      <c r="E31" s="92"/>
      <c r="F31" s="92"/>
      <c r="G31" s="92"/>
      <c r="H31" s="97"/>
      <c r="I31" s="92"/>
      <c r="J31" s="79"/>
      <c r="K31" s="79"/>
      <c r="L31" s="79"/>
      <c r="M31" s="79"/>
    </row>
    <row r="32" spans="2:13" x14ac:dyDescent="0.35">
      <c r="B32" s="92"/>
      <c r="C32" s="92"/>
      <c r="D32" s="92"/>
      <c r="E32" s="92"/>
      <c r="F32" s="92"/>
      <c r="G32" s="92"/>
      <c r="H32" s="97"/>
      <c r="I32" s="92"/>
      <c r="J32" s="79"/>
      <c r="K32" s="79"/>
      <c r="L32" s="79"/>
      <c r="M32" s="79"/>
    </row>
    <row r="33" spans="2:13" x14ac:dyDescent="0.35">
      <c r="B33" s="92"/>
      <c r="C33" s="92"/>
      <c r="D33" s="92"/>
      <c r="E33" s="92"/>
      <c r="F33" s="92"/>
      <c r="G33" s="92"/>
      <c r="H33" s="97"/>
      <c r="I33" s="92"/>
      <c r="J33" s="79"/>
      <c r="K33" s="79"/>
      <c r="L33" s="79"/>
      <c r="M33" s="79"/>
    </row>
    <row r="34" spans="2:13" x14ac:dyDescent="0.35">
      <c r="B34" s="92"/>
      <c r="C34" s="92"/>
      <c r="D34" s="92"/>
      <c r="E34" s="92"/>
      <c r="F34" s="92"/>
      <c r="G34" s="92"/>
      <c r="H34" s="97"/>
      <c r="I34" s="92"/>
      <c r="J34" s="79"/>
      <c r="K34" s="79"/>
      <c r="L34" s="79"/>
      <c r="M34" s="79"/>
    </row>
    <row r="35" spans="2:13" x14ac:dyDescent="0.35">
      <c r="B35" s="92"/>
      <c r="C35" s="92"/>
      <c r="D35" s="92"/>
      <c r="E35" s="92"/>
      <c r="F35" s="92"/>
      <c r="G35" s="92"/>
      <c r="H35" s="97"/>
      <c r="I35" s="92"/>
      <c r="J35" s="79"/>
      <c r="K35" s="79"/>
      <c r="L35" s="79"/>
      <c r="M35" s="79"/>
    </row>
    <row r="36" spans="2:13" x14ac:dyDescent="0.35">
      <c r="B36" s="92"/>
      <c r="C36" s="92"/>
      <c r="D36" s="92"/>
      <c r="E36" s="92"/>
      <c r="F36" s="92"/>
      <c r="G36" s="92"/>
      <c r="H36" s="97"/>
      <c r="I36" s="92"/>
      <c r="J36" s="79"/>
      <c r="K36" s="79"/>
      <c r="L36" s="79"/>
      <c r="M36" s="79"/>
    </row>
    <row r="37" spans="2:13" x14ac:dyDescent="0.35">
      <c r="B37" s="92"/>
      <c r="C37" s="92"/>
      <c r="D37" s="92"/>
      <c r="E37" s="92"/>
      <c r="F37" s="92"/>
      <c r="G37" s="92"/>
      <c r="H37" s="97"/>
      <c r="I37" s="92"/>
      <c r="J37" s="79"/>
      <c r="K37" s="79"/>
      <c r="L37" s="79"/>
      <c r="M37" s="79"/>
    </row>
    <row r="38" spans="2:13" x14ac:dyDescent="0.35">
      <c r="B38" s="92"/>
      <c r="C38" s="92"/>
      <c r="D38" s="92"/>
      <c r="E38" s="92"/>
      <c r="F38" s="92"/>
      <c r="G38" s="92"/>
      <c r="H38" s="97"/>
      <c r="I38" s="92"/>
      <c r="J38" s="79"/>
      <c r="K38" s="79"/>
      <c r="L38" s="79"/>
      <c r="M38" s="79"/>
    </row>
    <row r="39" spans="2:13" x14ac:dyDescent="0.35">
      <c r="B39" s="92"/>
      <c r="C39" s="92"/>
      <c r="D39" s="92"/>
      <c r="E39" s="92"/>
      <c r="F39" s="92"/>
      <c r="G39" s="92"/>
      <c r="H39" s="97"/>
      <c r="I39" s="92"/>
      <c r="J39" s="79"/>
      <c r="K39" s="79"/>
      <c r="L39" s="79"/>
      <c r="M39" s="79"/>
    </row>
    <row r="40" spans="2:13" x14ac:dyDescent="0.35">
      <c r="B40" s="92"/>
      <c r="C40" s="92"/>
      <c r="D40" s="92"/>
      <c r="E40" s="92"/>
      <c r="F40" s="92"/>
      <c r="G40" s="92"/>
      <c r="H40" s="97"/>
      <c r="I40" s="92"/>
      <c r="J40" s="79"/>
      <c r="K40" s="79"/>
      <c r="L40" s="79"/>
      <c r="M40" s="79"/>
    </row>
    <row r="41" spans="2:13" x14ac:dyDescent="0.35">
      <c r="B41" s="92"/>
      <c r="C41" s="92"/>
      <c r="D41" s="92"/>
      <c r="E41" s="92"/>
      <c r="F41" s="92"/>
      <c r="G41" s="92"/>
      <c r="H41" s="97"/>
      <c r="I41" s="92"/>
      <c r="J41" s="79"/>
      <c r="K41" s="79"/>
      <c r="L41" s="79"/>
      <c r="M41" s="79"/>
    </row>
    <row r="42" spans="2:13" x14ac:dyDescent="0.35">
      <c r="B42" s="92"/>
      <c r="C42" s="92"/>
      <c r="D42" s="92"/>
      <c r="E42" s="92"/>
      <c r="F42" s="92"/>
      <c r="G42" s="92"/>
      <c r="H42" s="97"/>
      <c r="I42" s="92"/>
      <c r="J42" s="79"/>
      <c r="K42" s="79"/>
      <c r="L42" s="79"/>
      <c r="M42" s="79"/>
    </row>
    <row r="43" spans="2:13" x14ac:dyDescent="0.35">
      <c r="B43" s="92"/>
      <c r="C43" s="92"/>
      <c r="D43" s="92"/>
      <c r="E43" s="92"/>
      <c r="F43" s="92"/>
      <c r="G43" s="92"/>
      <c r="H43" s="97"/>
      <c r="I43" s="92"/>
      <c r="J43" s="79"/>
      <c r="K43" s="79"/>
      <c r="L43" s="79"/>
      <c r="M43" s="79"/>
    </row>
    <row r="44" spans="2:13" x14ac:dyDescent="0.35">
      <c r="B44" s="92"/>
      <c r="C44" s="92"/>
      <c r="D44" s="92"/>
      <c r="E44" s="92"/>
      <c r="F44" s="92"/>
      <c r="G44" s="92"/>
      <c r="H44" s="97"/>
      <c r="I44" s="92"/>
      <c r="J44" s="79"/>
      <c r="K44" s="79"/>
      <c r="L44" s="79"/>
      <c r="M44" s="79"/>
    </row>
    <row r="45" spans="2:13" x14ac:dyDescent="0.35">
      <c r="B45" s="92"/>
      <c r="C45" s="92"/>
      <c r="D45" s="92"/>
      <c r="E45" s="92"/>
      <c r="F45" s="92"/>
      <c r="G45" s="92"/>
      <c r="H45" s="97"/>
      <c r="I45" s="92"/>
      <c r="J45" s="79"/>
      <c r="K45" s="79"/>
      <c r="L45" s="79"/>
      <c r="M45" s="79"/>
    </row>
    <row r="46" spans="2:13" x14ac:dyDescent="0.35">
      <c r="B46" s="92"/>
      <c r="C46" s="92"/>
      <c r="D46" s="92"/>
      <c r="E46" s="92"/>
      <c r="F46" s="92"/>
      <c r="G46" s="92"/>
      <c r="H46" s="97"/>
      <c r="I46" s="92"/>
      <c r="J46" s="79"/>
      <c r="K46" s="79"/>
      <c r="L46" s="79"/>
      <c r="M46" s="79"/>
    </row>
    <row r="47" spans="2:13" x14ac:dyDescent="0.35">
      <c r="B47" s="92"/>
      <c r="C47" s="92"/>
      <c r="D47" s="92"/>
      <c r="E47" s="92"/>
      <c r="F47" s="92"/>
      <c r="G47" s="92"/>
      <c r="H47" s="97"/>
      <c r="I47" s="92"/>
      <c r="J47" s="79"/>
      <c r="K47" s="79"/>
      <c r="L47" s="79"/>
      <c r="M47" s="79"/>
    </row>
    <row r="48" spans="2:13" x14ac:dyDescent="0.35">
      <c r="B48" s="92"/>
      <c r="C48" s="92"/>
      <c r="D48" s="92"/>
      <c r="E48" s="92"/>
      <c r="F48" s="92"/>
      <c r="G48" s="92"/>
      <c r="H48" s="97"/>
      <c r="I48" s="92"/>
      <c r="J48" s="79"/>
      <c r="K48" s="79"/>
      <c r="L48" s="79"/>
      <c r="M48" s="79"/>
    </row>
    <row r="49" spans="10:13" x14ac:dyDescent="0.35">
      <c r="J49" s="79"/>
      <c r="K49" s="79"/>
      <c r="L49" s="79"/>
      <c r="M49" s="79"/>
    </row>
    <row r="50" spans="10:13" x14ac:dyDescent="0.35">
      <c r="J50" s="79"/>
      <c r="K50" s="79"/>
      <c r="L50" s="79"/>
      <c r="M50" s="79"/>
    </row>
    <row r="51" spans="10:13" x14ac:dyDescent="0.35">
      <c r="J51" s="79"/>
      <c r="K51" s="79"/>
      <c r="L51" s="79"/>
      <c r="M51" s="79"/>
    </row>
    <row r="52" spans="10:13" x14ac:dyDescent="0.35">
      <c r="J52" s="79"/>
      <c r="K52" s="79"/>
      <c r="L52" s="79"/>
      <c r="M52" s="79"/>
    </row>
    <row r="53" spans="10:13" x14ac:dyDescent="0.35">
      <c r="J53" s="79"/>
      <c r="K53" s="79"/>
      <c r="L53" s="79"/>
      <c r="M53" s="79"/>
    </row>
    <row r="54" spans="10:13" x14ac:dyDescent="0.35">
      <c r="J54" s="79"/>
      <c r="K54" s="79"/>
      <c r="L54" s="79"/>
      <c r="M54" s="79"/>
    </row>
    <row r="55" spans="10:13" x14ac:dyDescent="0.35">
      <c r="J55" s="79"/>
      <c r="K55" s="79"/>
      <c r="L55" s="79"/>
      <c r="M55" s="79"/>
    </row>
    <row r="56" spans="10:13" x14ac:dyDescent="0.35">
      <c r="J56" s="79"/>
      <c r="K56" s="79"/>
      <c r="L56" s="79"/>
      <c r="M56" s="79"/>
    </row>
    <row r="57" spans="10:13" x14ac:dyDescent="0.35">
      <c r="J57" s="79"/>
      <c r="K57" s="79"/>
      <c r="L57" s="79"/>
      <c r="M57" s="79"/>
    </row>
    <row r="58" spans="10:13" x14ac:dyDescent="0.35">
      <c r="J58" s="79"/>
      <c r="K58" s="79"/>
      <c r="L58" s="79"/>
      <c r="M58" s="79"/>
    </row>
    <row r="59" spans="10:13" x14ac:dyDescent="0.35">
      <c r="J59" s="79"/>
      <c r="K59" s="79"/>
      <c r="L59" s="79"/>
      <c r="M59" s="79"/>
    </row>
    <row r="60" spans="10:13" x14ac:dyDescent="0.35">
      <c r="J60" s="79"/>
      <c r="K60" s="79"/>
      <c r="L60" s="79"/>
      <c r="M60" s="79"/>
    </row>
    <row r="61" spans="10:13" x14ac:dyDescent="0.35">
      <c r="J61" s="79"/>
      <c r="K61" s="79"/>
      <c r="L61" s="79"/>
      <c r="M61" s="79"/>
    </row>
    <row r="62" spans="10:13" x14ac:dyDescent="0.35">
      <c r="J62" s="79"/>
      <c r="K62" s="79"/>
      <c r="L62" s="79"/>
      <c r="M62" s="79"/>
    </row>
    <row r="63" spans="10:13" x14ac:dyDescent="0.35">
      <c r="J63" s="79"/>
      <c r="K63" s="79"/>
      <c r="L63" s="79"/>
      <c r="M63" s="79"/>
    </row>
    <row r="64" spans="10:13" x14ac:dyDescent="0.35">
      <c r="J64" s="79"/>
      <c r="K64" s="79"/>
      <c r="L64" s="79"/>
      <c r="M64" s="79"/>
    </row>
    <row r="65" spans="10:13" x14ac:dyDescent="0.35">
      <c r="J65" s="79"/>
      <c r="K65" s="79"/>
      <c r="L65" s="79"/>
      <c r="M65" s="79"/>
    </row>
    <row r="66" spans="10:13" x14ac:dyDescent="0.35">
      <c r="J66" s="79"/>
      <c r="K66" s="79"/>
      <c r="L66" s="79"/>
      <c r="M66" s="79"/>
    </row>
    <row r="67" spans="10:13" x14ac:dyDescent="0.35">
      <c r="J67" s="79"/>
      <c r="K67" s="79"/>
      <c r="L67" s="79"/>
      <c r="M67" s="79"/>
    </row>
    <row r="68" spans="10:13" x14ac:dyDescent="0.35">
      <c r="J68" s="79"/>
      <c r="K68" s="79"/>
      <c r="L68" s="79"/>
      <c r="M68" s="79"/>
    </row>
    <row r="69" spans="10:13" x14ac:dyDescent="0.35">
      <c r="J69" s="79"/>
      <c r="K69" s="79"/>
      <c r="L69" s="79"/>
      <c r="M69" s="79"/>
    </row>
    <row r="70" spans="10:13" x14ac:dyDescent="0.35">
      <c r="J70" s="79"/>
      <c r="K70" s="79"/>
      <c r="L70" s="79"/>
      <c r="M70" s="79"/>
    </row>
  </sheetData>
  <mergeCells count="1">
    <mergeCell ref="B2:I2"/>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28477-1A19-4CB7-855E-EF96F2E9FCA8}">
  <dimension ref="B2:I29"/>
  <sheetViews>
    <sheetView showGridLines="0" tabSelected="1" topLeftCell="A13" zoomScale="70" zoomScaleNormal="70" workbookViewId="0">
      <selection activeCell="C25" sqref="C25"/>
    </sheetView>
  </sheetViews>
  <sheetFormatPr defaultColWidth="9.1796875" defaultRowHeight="14.5" x14ac:dyDescent="0.35"/>
  <cols>
    <col min="1" max="1" width="2.453125" style="261" customWidth="1"/>
    <col min="2" max="2" width="14.81640625" style="262" customWidth="1"/>
    <col min="3" max="3" width="71.81640625" style="263" customWidth="1"/>
    <col min="4" max="4" width="42.54296875" style="261" customWidth="1"/>
    <col min="5" max="5" width="24" style="263" bestFit="1" customWidth="1"/>
    <col min="6" max="8" width="24" style="263" customWidth="1"/>
    <col min="9" max="9" width="18.453125" style="262" customWidth="1"/>
    <col min="10" max="16384" width="9.1796875" style="261"/>
  </cols>
  <sheetData>
    <row r="2" spans="2:9" s="245" customFormat="1" ht="14.5" customHeight="1" x14ac:dyDescent="0.45">
      <c r="B2" s="244" t="s">
        <v>1066</v>
      </c>
      <c r="C2" s="244"/>
      <c r="D2"/>
      <c r="E2"/>
    </row>
    <row r="3" spans="2:9" s="245" customFormat="1" ht="14.5" customHeight="1" x14ac:dyDescent="0.35">
      <c r="B3" s="246" t="s">
        <v>1067</v>
      </c>
      <c r="C3" s="247" t="s">
        <v>1143</v>
      </c>
      <c r="D3"/>
      <c r="E3"/>
    </row>
    <row r="4" spans="2:9" s="245" customFormat="1" ht="18" customHeight="1" x14ac:dyDescent="0.35">
      <c r="B4" s="248" t="s">
        <v>1068</v>
      </c>
      <c r="C4" s="247" t="s">
        <v>1143</v>
      </c>
      <c r="D4"/>
      <c r="E4"/>
    </row>
    <row r="5" spans="2:9" s="245" customFormat="1" ht="18" customHeight="1" x14ac:dyDescent="0.35">
      <c r="B5" s="248" t="s">
        <v>1069</v>
      </c>
      <c r="C5" s="247" t="s">
        <v>1147</v>
      </c>
      <c r="D5"/>
      <c r="E5"/>
    </row>
    <row r="6" spans="2:9" s="245" customFormat="1" ht="14.5" customHeight="1" x14ac:dyDescent="0.35">
      <c r="B6" s="249"/>
      <c r="C6" s="250"/>
      <c r="D6"/>
      <c r="E6"/>
    </row>
    <row r="7" spans="2:9" s="245" customFormat="1" ht="14.5" customHeight="1" x14ac:dyDescent="0.35">
      <c r="B7"/>
      <c r="C7"/>
      <c r="D7"/>
      <c r="E7"/>
    </row>
    <row r="8" spans="2:9" s="245" customFormat="1" ht="14.5" customHeight="1" x14ac:dyDescent="0.35">
      <c r="B8"/>
      <c r="C8"/>
      <c r="D8"/>
      <c r="E8"/>
    </row>
    <row r="9" spans="2:9" s="245" customFormat="1" ht="15" customHeight="1" x14ac:dyDescent="0.45">
      <c r="B9" s="244" t="s">
        <v>1070</v>
      </c>
      <c r="C9" s="244"/>
      <c r="D9"/>
      <c r="E9"/>
    </row>
    <row r="10" spans="2:9" s="245" customFormat="1" ht="14.5" customHeight="1" x14ac:dyDescent="0.35">
      <c r="B10" s="246" t="s">
        <v>1067</v>
      </c>
      <c r="C10" s="247" t="s">
        <v>1146</v>
      </c>
      <c r="D10"/>
      <c r="E10"/>
    </row>
    <row r="11" spans="2:9" s="245" customFormat="1" ht="14.5" customHeight="1" x14ac:dyDescent="0.35">
      <c r="B11" s="248" t="s">
        <v>1068</v>
      </c>
      <c r="C11" s="247" t="s">
        <v>1146</v>
      </c>
      <c r="D11"/>
      <c r="E11"/>
    </row>
    <row r="12" spans="2:9" s="245" customFormat="1" ht="14.5" customHeight="1" x14ac:dyDescent="0.35">
      <c r="B12" s="248" t="s">
        <v>1071</v>
      </c>
      <c r="C12" s="247" t="s">
        <v>1147</v>
      </c>
      <c r="D12"/>
      <c r="E12"/>
    </row>
    <row r="13" spans="2:9" s="251" customFormat="1" ht="15.5" x14ac:dyDescent="0.35">
      <c r="B13" s="515" t="s">
        <v>1072</v>
      </c>
      <c r="C13" s="516"/>
      <c r="D13" s="516"/>
      <c r="E13" s="516"/>
      <c r="F13" s="516"/>
      <c r="G13" s="516"/>
      <c r="H13" s="516"/>
      <c r="I13" s="516"/>
    </row>
    <row r="14" spans="2:9" s="254" customFormat="1" ht="21.75" customHeight="1" x14ac:dyDescent="0.35">
      <c r="B14" s="252" t="s">
        <v>1073</v>
      </c>
      <c r="C14" s="253" t="s">
        <v>1074</v>
      </c>
      <c r="D14" s="252" t="s">
        <v>1075</v>
      </c>
      <c r="E14" s="517" t="s">
        <v>1076</v>
      </c>
      <c r="F14" s="518"/>
      <c r="G14" s="518"/>
      <c r="H14" s="518"/>
      <c r="I14" s="253" t="s">
        <v>1077</v>
      </c>
    </row>
    <row r="15" spans="2:9" s="254" customFormat="1" ht="46.5" x14ac:dyDescent="0.35">
      <c r="B15" s="255"/>
      <c r="C15" s="256" t="s">
        <v>1078</v>
      </c>
      <c r="D15" s="257" t="s">
        <v>1079</v>
      </c>
      <c r="E15" s="256" t="s">
        <v>1080</v>
      </c>
      <c r="F15" s="256" t="s">
        <v>1081</v>
      </c>
      <c r="G15" s="256" t="s">
        <v>1082</v>
      </c>
      <c r="H15" s="256" t="s">
        <v>1083</v>
      </c>
      <c r="I15" s="256" t="s">
        <v>1084</v>
      </c>
    </row>
    <row r="16" spans="2:9" x14ac:dyDescent="0.35">
      <c r="B16" s="410">
        <v>1</v>
      </c>
      <c r="C16" s="413" t="s">
        <v>258</v>
      </c>
      <c r="D16" s="259" t="s">
        <v>1127</v>
      </c>
      <c r="E16" s="260" t="s">
        <v>164</v>
      </c>
      <c r="F16" s="260" t="s">
        <v>164</v>
      </c>
      <c r="G16" s="260" t="s">
        <v>164</v>
      </c>
      <c r="H16" s="260" t="s">
        <v>164</v>
      </c>
      <c r="I16" s="260" t="s">
        <v>164</v>
      </c>
    </row>
    <row r="17" spans="2:9" ht="43.5" x14ac:dyDescent="0.35">
      <c r="B17" s="410">
        <v>2</v>
      </c>
      <c r="C17" s="413" t="s">
        <v>766</v>
      </c>
      <c r="D17" s="259" t="s">
        <v>1126</v>
      </c>
      <c r="E17" s="260" t="s">
        <v>164</v>
      </c>
      <c r="F17" s="260" t="s">
        <v>164</v>
      </c>
      <c r="G17" s="260" t="s">
        <v>164</v>
      </c>
      <c r="H17" s="260" t="s">
        <v>164</v>
      </c>
      <c r="I17" s="260" t="s">
        <v>164</v>
      </c>
    </row>
    <row r="18" spans="2:9" ht="28" x14ac:dyDescent="0.35">
      <c r="B18" s="410">
        <v>3</v>
      </c>
      <c r="C18" s="430" t="s">
        <v>363</v>
      </c>
      <c r="D18" s="259" t="s">
        <v>1127</v>
      </c>
      <c r="E18" s="260" t="s">
        <v>164</v>
      </c>
      <c r="F18" s="260" t="s">
        <v>164</v>
      </c>
      <c r="G18" s="260" t="s">
        <v>164</v>
      </c>
      <c r="H18" s="260" t="s">
        <v>164</v>
      </c>
      <c r="I18" s="260" t="s">
        <v>164</v>
      </c>
    </row>
    <row r="19" spans="2:9" ht="28" x14ac:dyDescent="0.35">
      <c r="B19" s="410">
        <v>4</v>
      </c>
      <c r="C19" s="431" t="s">
        <v>386</v>
      </c>
      <c r="D19" s="259" t="s">
        <v>1127</v>
      </c>
      <c r="E19" s="260" t="s">
        <v>164</v>
      </c>
      <c r="F19" s="260" t="s">
        <v>164</v>
      </c>
      <c r="G19" s="260" t="s">
        <v>164</v>
      </c>
      <c r="H19" s="260" t="s">
        <v>164</v>
      </c>
      <c r="I19" s="260" t="s">
        <v>164</v>
      </c>
    </row>
    <row r="20" spans="2:9" ht="43.5" x14ac:dyDescent="0.35">
      <c r="B20" s="410">
        <v>5</v>
      </c>
      <c r="C20" s="431" t="s">
        <v>178</v>
      </c>
      <c r="D20" s="259" t="s">
        <v>1126</v>
      </c>
      <c r="E20" s="260" t="s">
        <v>164</v>
      </c>
      <c r="F20" s="260" t="s">
        <v>164</v>
      </c>
      <c r="G20" s="260" t="s">
        <v>164</v>
      </c>
      <c r="H20" s="260" t="s">
        <v>164</v>
      </c>
      <c r="I20" s="260" t="s">
        <v>164</v>
      </c>
    </row>
    <row r="21" spans="2:9" x14ac:dyDescent="0.35">
      <c r="B21" s="410">
        <v>6</v>
      </c>
      <c r="C21" s="431" t="s">
        <v>685</v>
      </c>
      <c r="D21" s="259" t="s">
        <v>1128</v>
      </c>
      <c r="E21" s="260" t="s">
        <v>164</v>
      </c>
      <c r="F21" s="260" t="s">
        <v>164</v>
      </c>
      <c r="G21" s="260" t="s">
        <v>164</v>
      </c>
      <c r="H21" s="260" t="s">
        <v>164</v>
      </c>
      <c r="I21" s="260" t="s">
        <v>164</v>
      </c>
    </row>
    <row r="22" spans="2:9" ht="28" x14ac:dyDescent="0.35">
      <c r="B22" s="410">
        <v>7</v>
      </c>
      <c r="C22" s="413" t="s">
        <v>810</v>
      </c>
      <c r="D22" s="259" t="s">
        <v>1127</v>
      </c>
      <c r="E22" s="260" t="s">
        <v>164</v>
      </c>
      <c r="F22" s="260" t="s">
        <v>164</v>
      </c>
      <c r="G22" s="260" t="s">
        <v>164</v>
      </c>
      <c r="H22" s="260" t="s">
        <v>164</v>
      </c>
      <c r="I22" s="260" t="s">
        <v>164</v>
      </c>
    </row>
    <row r="23" spans="2:9" x14ac:dyDescent="0.35">
      <c r="B23" s="410">
        <v>8</v>
      </c>
      <c r="C23" s="431" t="s">
        <v>848</v>
      </c>
      <c r="D23" s="259" t="s">
        <v>1129</v>
      </c>
      <c r="E23" s="260" t="s">
        <v>164</v>
      </c>
      <c r="F23" s="260" t="s">
        <v>164</v>
      </c>
      <c r="G23" s="260" t="s">
        <v>164</v>
      </c>
      <c r="H23" s="260" t="s">
        <v>164</v>
      </c>
      <c r="I23" s="260" t="s">
        <v>164</v>
      </c>
    </row>
    <row r="24" spans="2:9" ht="58" x14ac:dyDescent="0.35">
      <c r="B24" s="410">
        <v>9</v>
      </c>
      <c r="C24" s="413" t="s">
        <v>544</v>
      </c>
      <c r="D24" s="259" t="s">
        <v>1130</v>
      </c>
      <c r="E24" s="260" t="s">
        <v>164</v>
      </c>
      <c r="F24" s="260" t="s">
        <v>164</v>
      </c>
      <c r="G24" s="260" t="s">
        <v>164</v>
      </c>
      <c r="H24" s="260" t="s">
        <v>164</v>
      </c>
      <c r="I24" s="260" t="s">
        <v>164</v>
      </c>
    </row>
    <row r="25" spans="2:9" x14ac:dyDescent="0.35">
      <c r="B25" s="258"/>
      <c r="C25" s="259"/>
      <c r="D25" s="259"/>
      <c r="E25" s="259"/>
      <c r="F25" s="259"/>
      <c r="G25" s="259"/>
      <c r="H25" s="259"/>
      <c r="I25" s="260"/>
    </row>
    <row r="26" spans="2:9" x14ac:dyDescent="0.35">
      <c r="B26" s="258"/>
      <c r="C26" s="259"/>
      <c r="D26" s="259"/>
      <c r="E26" s="259"/>
      <c r="F26" s="259"/>
      <c r="G26" s="259"/>
      <c r="H26" s="259"/>
      <c r="I26" s="260"/>
    </row>
    <row r="27" spans="2:9" x14ac:dyDescent="0.35">
      <c r="B27" s="258"/>
      <c r="C27" s="259"/>
      <c r="D27" s="259"/>
      <c r="E27" s="259"/>
      <c r="F27" s="259"/>
      <c r="G27" s="259"/>
      <c r="H27" s="259"/>
      <c r="I27" s="260"/>
    </row>
    <row r="28" spans="2:9" x14ac:dyDescent="0.35">
      <c r="I28" s="264"/>
    </row>
    <row r="29" spans="2:9" ht="23.5" x14ac:dyDescent="0.35">
      <c r="B29" s="265"/>
    </row>
  </sheetData>
  <mergeCells count="2">
    <mergeCell ref="B13:I13"/>
    <mergeCell ref="E14:H14"/>
  </mergeCells>
  <hyperlinks>
    <hyperlink ref="C18" location="Components!D2" display="SW Requirements Specifications (RS) at all SW levels: high level and detailed RS  (including security scope)" xr:uid="{A1D92A09-F102-479E-BB66-23503FE0AE78}"/>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2F4F5-06CE-486E-B62B-A7DFC155F213}">
  <sheetPr filterMode="1"/>
  <dimension ref="A1:AC81"/>
  <sheetViews>
    <sheetView zoomScale="60" zoomScaleNormal="60" workbookViewId="0">
      <pane xSplit="2" ySplit="9" topLeftCell="C10" activePane="bottomRight" state="frozen"/>
      <selection pane="topRight" activeCell="C1" sqref="C1"/>
      <selection pane="bottomLeft" activeCell="A9" sqref="A9"/>
      <selection pane="bottomRight" activeCell="AD76" sqref="AD76"/>
    </sheetView>
  </sheetViews>
  <sheetFormatPr defaultColWidth="35.453125" defaultRowHeight="12.5" x14ac:dyDescent="0.25"/>
  <cols>
    <col min="1" max="1" width="12.6328125" style="48" customWidth="1"/>
    <col min="2" max="2" width="26.6328125" style="49" customWidth="1"/>
    <col min="3" max="3" width="21.90625" style="48" customWidth="1"/>
    <col min="4" max="4" width="29.54296875" style="50" hidden="1" customWidth="1"/>
    <col min="5" max="5" width="18.6328125" style="49" hidden="1" customWidth="1"/>
    <col min="6" max="6" width="22.54296875" style="48" hidden="1" customWidth="1"/>
    <col min="7" max="7" width="13.90625" style="48" customWidth="1"/>
    <col min="8" max="8" width="9.6328125" style="420" customWidth="1"/>
    <col min="9" max="9" width="8.36328125" style="48" hidden="1" customWidth="1"/>
    <col min="10" max="10" width="7.08984375" style="48" hidden="1" customWidth="1"/>
    <col min="11" max="11" width="10.6328125" style="48" hidden="1" customWidth="1"/>
    <col min="12" max="12" width="12" style="48" hidden="1" customWidth="1"/>
    <col min="13" max="13" width="15.6328125" style="420" customWidth="1"/>
    <col min="14" max="17" width="15.6328125" style="48" hidden="1" customWidth="1"/>
    <col min="18" max="18" width="18.453125" style="420" customWidth="1"/>
    <col min="19" max="19" width="19.90625" style="420" customWidth="1"/>
    <col min="20" max="20" width="21.90625" style="420" customWidth="1"/>
    <col min="21" max="21" width="22.54296875" style="48" customWidth="1"/>
    <col min="22" max="22" width="30.90625" style="48" customWidth="1"/>
    <col min="23" max="23" width="31.08984375" style="48" hidden="1" customWidth="1"/>
    <col min="24" max="24" width="31.90625" style="48" hidden="1" customWidth="1"/>
    <col min="25" max="25" width="21" style="48" hidden="1" customWidth="1"/>
    <col min="26" max="26" width="15" style="48" hidden="1" customWidth="1"/>
    <col min="27" max="27" width="22.90625" style="48" hidden="1" customWidth="1"/>
    <col min="28" max="28" width="16.453125" style="48" customWidth="1"/>
    <col min="29" max="16384" width="35.453125" style="48"/>
  </cols>
  <sheetData>
    <row r="1" spans="1:28" hidden="1" x14ac:dyDescent="0.25">
      <c r="A1" s="63"/>
      <c r="B1" s="48" t="s">
        <v>720</v>
      </c>
      <c r="H1" s="48"/>
      <c r="M1" s="48"/>
      <c r="R1" s="48"/>
      <c r="S1" s="48"/>
      <c r="T1" s="48"/>
    </row>
    <row r="2" spans="1:28" hidden="1" x14ac:dyDescent="0.25">
      <c r="A2" s="62"/>
      <c r="B2" s="51" t="s">
        <v>721</v>
      </c>
      <c r="C2" s="51"/>
      <c r="D2" s="126"/>
      <c r="H2" s="48"/>
      <c r="M2" s="48"/>
      <c r="R2" s="48"/>
      <c r="S2" s="48"/>
      <c r="T2" s="48"/>
    </row>
    <row r="3" spans="1:28" hidden="1" x14ac:dyDescent="0.25">
      <c r="A3" s="61"/>
      <c r="B3" s="51" t="s">
        <v>722</v>
      </c>
      <c r="D3" s="126"/>
      <c r="H3" s="48"/>
      <c r="M3" s="48"/>
      <c r="R3" s="48"/>
      <c r="S3" s="48"/>
      <c r="T3" s="48"/>
    </row>
    <row r="4" spans="1:28" hidden="1" x14ac:dyDescent="0.25">
      <c r="A4" s="60"/>
      <c r="B4" s="51" t="s">
        <v>723</v>
      </c>
      <c r="C4" s="51"/>
      <c r="D4" s="126"/>
      <c r="H4" s="48"/>
      <c r="M4" s="48"/>
      <c r="R4" s="48"/>
      <c r="S4" s="48"/>
      <c r="T4" s="48"/>
    </row>
    <row r="5" spans="1:28" ht="25" hidden="1" x14ac:dyDescent="0.25">
      <c r="A5" s="75" t="s">
        <v>724</v>
      </c>
      <c r="B5" s="51" t="s">
        <v>725</v>
      </c>
      <c r="C5" s="51"/>
      <c r="H5" s="48"/>
      <c r="M5" s="48"/>
      <c r="R5" s="48"/>
      <c r="S5" s="48"/>
      <c r="T5" s="48"/>
    </row>
    <row r="6" spans="1:28" ht="26.5" hidden="1" x14ac:dyDescent="0.4">
      <c r="A6" s="142" t="s">
        <v>726</v>
      </c>
      <c r="B6" s="51" t="s">
        <v>727</v>
      </c>
      <c r="C6" s="51"/>
      <c r="D6" s="119"/>
      <c r="H6" s="48"/>
      <c r="M6" s="48"/>
      <c r="R6" s="48"/>
      <c r="S6" s="48"/>
      <c r="T6" s="48"/>
      <c r="X6" s="143"/>
      <c r="Y6" s="144"/>
      <c r="Z6" s="144"/>
      <c r="AA6" s="144"/>
    </row>
    <row r="7" spans="1:28" ht="23.25" customHeight="1" x14ac:dyDescent="0.5">
      <c r="A7" s="523" t="s">
        <v>1089</v>
      </c>
      <c r="B7" s="524"/>
      <c r="C7" s="524"/>
      <c r="D7" s="524"/>
      <c r="E7" s="524"/>
      <c r="F7" s="524"/>
      <c r="G7" s="524"/>
      <c r="H7" s="525"/>
      <c r="I7" s="524"/>
      <c r="J7" s="524"/>
      <c r="K7" s="524"/>
      <c r="L7" s="524"/>
      <c r="M7" s="525"/>
      <c r="N7" s="524"/>
      <c r="O7" s="524"/>
      <c r="P7" s="524"/>
      <c r="Q7" s="524"/>
      <c r="R7" s="525"/>
      <c r="S7" s="525"/>
      <c r="T7" s="525"/>
      <c r="U7" s="524"/>
      <c r="V7" s="524"/>
      <c r="W7" s="524"/>
      <c r="X7" s="524"/>
      <c r="Y7" s="524"/>
      <c r="Z7" s="524"/>
      <c r="AA7" s="524"/>
      <c r="AB7" s="524"/>
    </row>
    <row r="8" spans="1:28" ht="39" customHeight="1" x14ac:dyDescent="0.25">
      <c r="A8" s="526"/>
      <c r="B8" s="527"/>
      <c r="C8" s="527"/>
      <c r="D8" s="527"/>
      <c r="E8" s="527"/>
      <c r="F8" s="527"/>
      <c r="G8" s="528"/>
      <c r="H8" s="529" t="s">
        <v>728</v>
      </c>
      <c r="I8" s="530"/>
      <c r="J8" s="530"/>
      <c r="K8" s="530"/>
      <c r="L8" s="531"/>
      <c r="M8" s="529" t="s">
        <v>729</v>
      </c>
      <c r="N8" s="530"/>
      <c r="O8" s="530"/>
      <c r="P8" s="530"/>
      <c r="Q8" s="531"/>
      <c r="R8" s="532" t="s">
        <v>730</v>
      </c>
      <c r="S8" s="533"/>
      <c r="T8" s="533"/>
      <c r="U8" s="513"/>
      <c r="V8" s="513"/>
      <c r="W8" s="514"/>
      <c r="X8" s="226"/>
      <c r="Y8" s="226"/>
      <c r="Z8" s="226"/>
      <c r="AA8" s="226"/>
      <c r="AB8" s="227"/>
    </row>
    <row r="9" spans="1:28" ht="34.25" customHeight="1" thickBot="1" x14ac:dyDescent="0.3">
      <c r="A9" s="213" t="s">
        <v>731</v>
      </c>
      <c r="B9" s="213" t="s">
        <v>732</v>
      </c>
      <c r="C9" s="213" t="s">
        <v>733</v>
      </c>
      <c r="D9" s="113" t="s">
        <v>734</v>
      </c>
      <c r="E9" s="113" t="s">
        <v>735</v>
      </c>
      <c r="F9" s="113" t="s">
        <v>736</v>
      </c>
      <c r="G9" s="213" t="s">
        <v>737</v>
      </c>
      <c r="H9" s="418" t="s">
        <v>738</v>
      </c>
      <c r="I9" s="113" t="s">
        <v>739</v>
      </c>
      <c r="J9" s="113" t="s">
        <v>740</v>
      </c>
      <c r="K9" s="113" t="s">
        <v>741</v>
      </c>
      <c r="L9" s="113" t="s">
        <v>742</v>
      </c>
      <c r="M9" s="418" t="s">
        <v>743</v>
      </c>
      <c r="N9" s="113" t="s">
        <v>744</v>
      </c>
      <c r="O9" s="113" t="s">
        <v>1102</v>
      </c>
      <c r="P9" s="113" t="s">
        <v>745</v>
      </c>
      <c r="Q9" s="113" t="s">
        <v>746</v>
      </c>
      <c r="R9" s="418" t="s">
        <v>747</v>
      </c>
      <c r="S9" s="418" t="s">
        <v>748</v>
      </c>
      <c r="T9" s="418" t="s">
        <v>749</v>
      </c>
      <c r="U9" s="213" t="s">
        <v>750</v>
      </c>
      <c r="V9" s="213" t="s">
        <v>751</v>
      </c>
      <c r="W9" s="213" t="s">
        <v>752</v>
      </c>
      <c r="X9" s="213" t="s">
        <v>753</v>
      </c>
      <c r="Y9" s="213" t="s">
        <v>754</v>
      </c>
      <c r="Z9" s="213" t="s">
        <v>755</v>
      </c>
      <c r="AA9" s="309" t="s">
        <v>756</v>
      </c>
      <c r="AB9" s="213" t="s">
        <v>757</v>
      </c>
    </row>
    <row r="10" spans="1:28" s="51" customFormat="1" ht="276" thickBot="1" x14ac:dyDescent="0.35">
      <c r="A10" s="391">
        <v>1</v>
      </c>
      <c r="B10" s="429" t="s">
        <v>258</v>
      </c>
      <c r="C10" s="435" t="s">
        <v>1121</v>
      </c>
      <c r="D10" s="288" t="s">
        <v>759</v>
      </c>
      <c r="E10" s="139" t="s">
        <v>678</v>
      </c>
      <c r="F10" s="267" t="s">
        <v>760</v>
      </c>
      <c r="G10" s="438" t="s">
        <v>761</v>
      </c>
      <c r="H10" s="120" t="s">
        <v>762</v>
      </c>
      <c r="I10" s="289"/>
      <c r="J10" s="208"/>
      <c r="K10" s="207"/>
      <c r="L10" s="270"/>
      <c r="M10" s="422" t="s">
        <v>1145</v>
      </c>
      <c r="N10" s="291"/>
      <c r="O10" s="117"/>
      <c r="P10" s="117"/>
      <c r="Q10" s="272"/>
      <c r="R10" s="266" t="s">
        <v>784</v>
      </c>
      <c r="S10" s="424" t="s">
        <v>1121</v>
      </c>
      <c r="T10" s="411" t="s">
        <v>1122</v>
      </c>
      <c r="U10" s="408" t="s">
        <v>1118</v>
      </c>
      <c r="V10" s="416" t="s">
        <v>1134</v>
      </c>
      <c r="W10" s="215" t="s">
        <v>764</v>
      </c>
      <c r="X10" s="230"/>
      <c r="Y10" s="53"/>
      <c r="Z10" s="198"/>
      <c r="AA10" s="199"/>
      <c r="AB10" s="417" t="s">
        <v>765</v>
      </c>
    </row>
    <row r="11" spans="1:28" s="51" customFormat="1" ht="102" customHeight="1" thickBot="1" x14ac:dyDescent="0.35">
      <c r="A11" s="391">
        <v>2</v>
      </c>
      <c r="B11" s="429" t="s">
        <v>766</v>
      </c>
      <c r="C11" s="421" t="s">
        <v>1106</v>
      </c>
      <c r="D11" s="139" t="s">
        <v>767</v>
      </c>
      <c r="E11" s="100" t="s">
        <v>768</v>
      </c>
      <c r="F11" s="268" t="s">
        <v>769</v>
      </c>
      <c r="G11" s="438" t="s">
        <v>761</v>
      </c>
      <c r="H11" s="120" t="s">
        <v>770</v>
      </c>
      <c r="I11" s="290" t="s">
        <v>762</v>
      </c>
      <c r="J11" s="120" t="s">
        <v>771</v>
      </c>
      <c r="K11" s="120" t="s">
        <v>771</v>
      </c>
      <c r="L11" s="271" t="s">
        <v>771</v>
      </c>
      <c r="M11" s="425">
        <v>1</v>
      </c>
      <c r="N11" s="291"/>
      <c r="O11" s="117"/>
      <c r="P11" s="117"/>
      <c r="Q11" s="272"/>
      <c r="R11" s="214" t="s">
        <v>784</v>
      </c>
      <c r="S11" s="411" t="s">
        <v>1106</v>
      </c>
      <c r="T11" s="411" t="s">
        <v>1105</v>
      </c>
      <c r="U11" s="112" t="s">
        <v>1094</v>
      </c>
      <c r="V11" s="228" t="s">
        <v>1131</v>
      </c>
      <c r="W11" s="215" t="s">
        <v>764</v>
      </c>
      <c r="X11" s="231"/>
      <c r="Y11" s="53"/>
      <c r="Z11" s="198"/>
      <c r="AA11" s="199"/>
      <c r="AB11" s="53" t="s">
        <v>765</v>
      </c>
    </row>
    <row r="12" spans="1:28" s="51" customFormat="1" ht="56.5" hidden="1" thickBot="1" x14ac:dyDescent="0.35">
      <c r="A12" s="391">
        <v>3</v>
      </c>
      <c r="B12" s="429" t="s">
        <v>774</v>
      </c>
      <c r="C12" s="429"/>
      <c r="D12" s="139" t="s">
        <v>775</v>
      </c>
      <c r="E12" s="100" t="s">
        <v>776</v>
      </c>
      <c r="F12" s="268" t="s">
        <v>777</v>
      </c>
      <c r="G12" s="429" t="s">
        <v>761</v>
      </c>
      <c r="H12" s="120" t="s">
        <v>770</v>
      </c>
      <c r="I12" s="290" t="s">
        <v>762</v>
      </c>
      <c r="J12" s="207"/>
      <c r="K12" s="207"/>
      <c r="L12" s="270"/>
      <c r="M12" s="214" t="s">
        <v>996</v>
      </c>
      <c r="N12" s="291"/>
      <c r="O12" s="117"/>
      <c r="P12" s="117"/>
      <c r="Q12" s="272"/>
      <c r="R12" s="214" t="s">
        <v>996</v>
      </c>
      <c r="S12" s="214" t="s">
        <v>996</v>
      </c>
      <c r="T12" s="214" t="s">
        <v>996</v>
      </c>
      <c r="U12" s="214" t="s">
        <v>996</v>
      </c>
      <c r="V12" s="117" t="s">
        <v>1095</v>
      </c>
      <c r="W12" s="215"/>
      <c r="X12" s="231"/>
      <c r="Y12" s="53"/>
      <c r="Z12" s="198"/>
      <c r="AA12" s="199"/>
      <c r="AB12" s="107" t="s">
        <v>778</v>
      </c>
    </row>
    <row r="13" spans="1:28" s="51" customFormat="1" ht="98.5" hidden="1" thickBot="1" x14ac:dyDescent="0.35">
      <c r="A13" s="391">
        <v>4</v>
      </c>
      <c r="B13" s="436" t="s">
        <v>184</v>
      </c>
      <c r="C13" s="437" t="s">
        <v>1109</v>
      </c>
      <c r="D13" s="139" t="s">
        <v>779</v>
      </c>
      <c r="E13" s="108" t="s">
        <v>768</v>
      </c>
      <c r="F13" s="269" t="s">
        <v>769</v>
      </c>
      <c r="G13" s="429" t="s">
        <v>761</v>
      </c>
      <c r="H13" s="120" t="s">
        <v>770</v>
      </c>
      <c r="I13" s="290" t="s">
        <v>771</v>
      </c>
      <c r="J13" s="120" t="s">
        <v>771</v>
      </c>
      <c r="K13" s="120" t="s">
        <v>771</v>
      </c>
      <c r="L13" s="271" t="s">
        <v>762</v>
      </c>
      <c r="M13" s="421">
        <v>0.2</v>
      </c>
      <c r="N13" s="292"/>
      <c r="O13" s="116"/>
      <c r="P13" s="116"/>
      <c r="Q13" s="273"/>
      <c r="R13" s="214" t="s">
        <v>763</v>
      </c>
      <c r="S13" s="412" t="s">
        <v>1109</v>
      </c>
      <c r="T13" s="411" t="s">
        <v>1101</v>
      </c>
      <c r="U13" s="240" t="s">
        <v>1107</v>
      </c>
      <c r="V13" s="411" t="s">
        <v>1101</v>
      </c>
      <c r="W13" s="215" t="s">
        <v>764</v>
      </c>
      <c r="X13" s="232" t="s">
        <v>1025</v>
      </c>
      <c r="Y13" s="53" t="s">
        <v>773</v>
      </c>
      <c r="Z13" s="198">
        <v>44362</v>
      </c>
      <c r="AA13" s="199"/>
      <c r="AB13" s="53" t="s">
        <v>765</v>
      </c>
    </row>
    <row r="14" spans="1:28" s="51" customFormat="1" ht="70.5" hidden="1" customHeight="1" x14ac:dyDescent="0.35">
      <c r="A14" s="125">
        <v>5</v>
      </c>
      <c r="B14" s="337" t="s">
        <v>780</v>
      </c>
      <c r="C14" s="337" t="s">
        <v>1027</v>
      </c>
      <c r="D14" s="100" t="s">
        <v>781</v>
      </c>
      <c r="E14" s="108" t="s">
        <v>768</v>
      </c>
      <c r="F14" s="108" t="s">
        <v>768</v>
      </c>
      <c r="G14" s="337" t="s">
        <v>761</v>
      </c>
      <c r="H14" s="338"/>
      <c r="I14" s="120" t="s">
        <v>762</v>
      </c>
      <c r="J14" s="120" t="s">
        <v>771</v>
      </c>
      <c r="K14" s="120" t="s">
        <v>771</v>
      </c>
      <c r="L14" s="120" t="s">
        <v>771</v>
      </c>
      <c r="M14" s="339"/>
      <c r="N14" s="116"/>
      <c r="O14" s="116"/>
      <c r="P14" s="116"/>
      <c r="Q14" s="116"/>
      <c r="R14" s="340" t="s">
        <v>763</v>
      </c>
      <c r="S14" s="339" t="s">
        <v>1027</v>
      </c>
      <c r="T14" s="339" t="s">
        <v>93</v>
      </c>
      <c r="U14" s="341" t="s">
        <v>1026</v>
      </c>
      <c r="V14" s="339" t="s">
        <v>997</v>
      </c>
      <c r="W14" s="342" t="s">
        <v>764</v>
      </c>
      <c r="X14" s="343" t="s">
        <v>1026</v>
      </c>
      <c r="Y14" s="344"/>
      <c r="Z14" s="345"/>
      <c r="AA14" s="346"/>
      <c r="AB14" s="347" t="s">
        <v>778</v>
      </c>
    </row>
    <row r="15" spans="1:28" s="56" customFormat="1" ht="80.400000000000006" hidden="1" customHeight="1" thickBot="1" x14ac:dyDescent="0.35">
      <c r="A15" s="391">
        <v>6</v>
      </c>
      <c r="B15" s="429" t="s">
        <v>596</v>
      </c>
      <c r="C15" s="429"/>
      <c r="D15" s="139" t="s">
        <v>782</v>
      </c>
      <c r="E15" s="108" t="s">
        <v>768</v>
      </c>
      <c r="F15" s="269" t="s">
        <v>768</v>
      </c>
      <c r="G15" s="429" t="s">
        <v>761</v>
      </c>
      <c r="H15" s="120" t="s">
        <v>770</v>
      </c>
      <c r="I15" s="290" t="s">
        <v>771</v>
      </c>
      <c r="J15" s="120" t="s">
        <v>762</v>
      </c>
      <c r="K15" s="207"/>
      <c r="L15" s="271" t="s">
        <v>771</v>
      </c>
      <c r="M15" s="422">
        <v>1.4</v>
      </c>
      <c r="N15" s="292"/>
      <c r="O15" s="116"/>
      <c r="P15" s="116"/>
      <c r="Q15" s="273"/>
      <c r="R15" s="214" t="s">
        <v>772</v>
      </c>
      <c r="S15" s="432" t="s">
        <v>1093</v>
      </c>
      <c r="T15" s="407">
        <v>1.3</v>
      </c>
      <c r="U15" s="240" t="s">
        <v>1093</v>
      </c>
      <c r="V15" s="116" t="s">
        <v>1090</v>
      </c>
      <c r="W15" s="215" t="s">
        <v>764</v>
      </c>
      <c r="X15" s="240" t="s">
        <v>1093</v>
      </c>
      <c r="Y15" s="200"/>
      <c r="Z15" s="201"/>
      <c r="AA15" s="199"/>
      <c r="AB15" s="53" t="s">
        <v>765</v>
      </c>
    </row>
    <row r="16" spans="1:28" s="51" customFormat="1" ht="42.75" hidden="1" customHeight="1" x14ac:dyDescent="0.35">
      <c r="A16" s="125">
        <v>7</v>
      </c>
      <c r="B16" s="348" t="s">
        <v>704</v>
      </c>
      <c r="C16" s="348" t="s">
        <v>1028</v>
      </c>
      <c r="D16" s="108" t="s">
        <v>783</v>
      </c>
      <c r="E16" s="108" t="s">
        <v>678</v>
      </c>
      <c r="F16" s="108" t="s">
        <v>719</v>
      </c>
      <c r="G16" s="349" t="s">
        <v>761</v>
      </c>
      <c r="H16" s="350"/>
      <c r="I16" s="207"/>
      <c r="J16" s="120" t="s">
        <v>770</v>
      </c>
      <c r="K16" s="120" t="s">
        <v>762</v>
      </c>
      <c r="L16" s="120" t="s">
        <v>762</v>
      </c>
      <c r="M16" s="351"/>
      <c r="N16" s="116"/>
      <c r="O16" s="116"/>
      <c r="P16" s="116"/>
      <c r="Q16" s="116"/>
      <c r="R16" s="352" t="s">
        <v>772</v>
      </c>
      <c r="S16" s="351" t="s">
        <v>1028</v>
      </c>
      <c r="T16" s="351" t="s">
        <v>943</v>
      </c>
      <c r="U16" s="353" t="s">
        <v>1029</v>
      </c>
      <c r="V16" s="351" t="s">
        <v>998</v>
      </c>
      <c r="W16" s="354" t="s">
        <v>764</v>
      </c>
      <c r="X16" s="355" t="s">
        <v>1029</v>
      </c>
      <c r="Y16" s="356"/>
      <c r="Z16" s="357"/>
      <c r="AA16" s="358"/>
      <c r="AB16" s="359" t="s">
        <v>785</v>
      </c>
    </row>
    <row r="17" spans="1:28" s="51" customFormat="1" ht="94.75" hidden="1" customHeight="1" thickBot="1" x14ac:dyDescent="0.35">
      <c r="A17" s="125">
        <v>8</v>
      </c>
      <c r="B17" s="319" t="s">
        <v>392</v>
      </c>
      <c r="C17" s="310" t="s">
        <v>1030</v>
      </c>
      <c r="D17" s="108" t="s">
        <v>786</v>
      </c>
      <c r="E17" s="108" t="s">
        <v>787</v>
      </c>
      <c r="F17" s="108" t="s">
        <v>788</v>
      </c>
      <c r="G17" s="310" t="s">
        <v>761</v>
      </c>
      <c r="H17" s="311"/>
      <c r="I17" s="120" t="s">
        <v>770</v>
      </c>
      <c r="J17" s="120" t="s">
        <v>762</v>
      </c>
      <c r="K17" s="120" t="s">
        <v>771</v>
      </c>
      <c r="L17" s="120" t="s">
        <v>771</v>
      </c>
      <c r="M17" s="312"/>
      <c r="N17" s="116"/>
      <c r="O17" s="116"/>
      <c r="P17" s="116"/>
      <c r="Q17" s="116"/>
      <c r="R17" s="313" t="s">
        <v>772</v>
      </c>
      <c r="S17" s="312" t="s">
        <v>1030</v>
      </c>
      <c r="T17" s="312"/>
      <c r="U17" s="314" t="s">
        <v>1031</v>
      </c>
      <c r="V17" s="312" t="s">
        <v>999</v>
      </c>
      <c r="W17" s="315" t="s">
        <v>764</v>
      </c>
      <c r="X17" s="314" t="s">
        <v>1031</v>
      </c>
      <c r="Y17" s="317"/>
      <c r="Z17" s="318"/>
      <c r="AA17" s="320"/>
      <c r="AB17" s="321" t="s">
        <v>765</v>
      </c>
    </row>
    <row r="18" spans="1:28" ht="276" thickBot="1" x14ac:dyDescent="0.35">
      <c r="A18" s="391">
        <v>9</v>
      </c>
      <c r="B18" s="430" t="s">
        <v>363</v>
      </c>
      <c r="C18" s="431"/>
      <c r="D18" s="293" t="s">
        <v>789</v>
      </c>
      <c r="E18" s="140" t="s">
        <v>790</v>
      </c>
      <c r="F18" s="274" t="s">
        <v>791</v>
      </c>
      <c r="G18" s="431" t="s">
        <v>720</v>
      </c>
      <c r="H18" s="120" t="s">
        <v>762</v>
      </c>
      <c r="I18" s="290" t="s">
        <v>771</v>
      </c>
      <c r="J18" s="120" t="s">
        <v>771</v>
      </c>
      <c r="K18" s="120" t="s">
        <v>771</v>
      </c>
      <c r="L18" s="271" t="s">
        <v>771</v>
      </c>
      <c r="M18" s="422" t="s">
        <v>1145</v>
      </c>
      <c r="N18" s="292"/>
      <c r="O18" s="116"/>
      <c r="P18" s="116"/>
      <c r="Q18" s="273"/>
      <c r="R18" s="266" t="s">
        <v>784</v>
      </c>
      <c r="S18" s="424" t="s">
        <v>1121</v>
      </c>
      <c r="T18" s="411" t="s">
        <v>1122</v>
      </c>
      <c r="U18" s="408" t="s">
        <v>1118</v>
      </c>
      <c r="V18" s="416" t="s">
        <v>1134</v>
      </c>
      <c r="W18" s="215" t="s">
        <v>764</v>
      </c>
      <c r="X18" s="229"/>
      <c r="Y18" s="200"/>
      <c r="Z18" s="201"/>
      <c r="AA18" s="199"/>
      <c r="AB18" s="53" t="s">
        <v>765</v>
      </c>
    </row>
    <row r="19" spans="1:28" s="51" customFormat="1" ht="154.5" thickBot="1" x14ac:dyDescent="0.35">
      <c r="A19" s="391">
        <v>10</v>
      </c>
      <c r="B19" s="431" t="s">
        <v>386</v>
      </c>
      <c r="C19" s="406" t="s">
        <v>1132</v>
      </c>
      <c r="D19" s="294" t="s">
        <v>792</v>
      </c>
      <c r="E19" s="64" t="s">
        <v>793</v>
      </c>
      <c r="F19" s="275" t="s">
        <v>794</v>
      </c>
      <c r="G19" s="398" t="s">
        <v>761</v>
      </c>
      <c r="H19" s="120" t="s">
        <v>762</v>
      </c>
      <c r="I19" s="290" t="s">
        <v>771</v>
      </c>
      <c r="J19" s="120" t="s">
        <v>771</v>
      </c>
      <c r="K19" s="120" t="s">
        <v>771</v>
      </c>
      <c r="L19" s="271" t="s">
        <v>771</v>
      </c>
      <c r="M19" s="426">
        <v>0.97</v>
      </c>
      <c r="N19" s="292"/>
      <c r="O19" s="116"/>
      <c r="P19" s="116"/>
      <c r="Q19" s="273"/>
      <c r="R19" s="214" t="s">
        <v>784</v>
      </c>
      <c r="S19" s="421" t="s">
        <v>1132</v>
      </c>
      <c r="T19" s="421">
        <v>0.93</v>
      </c>
      <c r="U19" s="427" t="s">
        <v>1117</v>
      </c>
      <c r="V19" s="116" t="s">
        <v>1000</v>
      </c>
      <c r="W19" s="215" t="s">
        <v>764</v>
      </c>
      <c r="X19" s="232"/>
      <c r="Y19" s="200"/>
      <c r="Z19" s="201"/>
      <c r="AA19" s="199"/>
      <c r="AB19" s="53" t="s">
        <v>778</v>
      </c>
    </row>
    <row r="20" spans="1:28" s="51" customFormat="1" ht="95" hidden="1" customHeight="1" x14ac:dyDescent="0.3">
      <c r="A20" s="391">
        <v>11</v>
      </c>
      <c r="B20" s="439" t="s">
        <v>795</v>
      </c>
      <c r="C20" s="440" t="s">
        <v>758</v>
      </c>
      <c r="D20" s="295" t="s">
        <v>796</v>
      </c>
      <c r="E20" s="101" t="s">
        <v>797</v>
      </c>
      <c r="F20" s="276" t="s">
        <v>777</v>
      </c>
      <c r="G20" s="398" t="s">
        <v>761</v>
      </c>
      <c r="H20" s="120" t="s">
        <v>770</v>
      </c>
      <c r="I20" s="290" t="s">
        <v>762</v>
      </c>
      <c r="J20" s="207"/>
      <c r="K20" s="207"/>
      <c r="L20" s="270"/>
      <c r="M20" s="214" t="s">
        <v>996</v>
      </c>
      <c r="N20" s="291"/>
      <c r="O20" s="117"/>
      <c r="P20" s="117"/>
      <c r="Q20" s="272"/>
      <c r="R20" s="214" t="s">
        <v>996</v>
      </c>
      <c r="S20" s="214" t="s">
        <v>996</v>
      </c>
      <c r="T20" s="214" t="s">
        <v>996</v>
      </c>
      <c r="U20" s="214" t="s">
        <v>996</v>
      </c>
      <c r="V20" s="116"/>
      <c r="W20" s="215" t="s">
        <v>764</v>
      </c>
      <c r="X20" s="231"/>
      <c r="Y20" s="53"/>
      <c r="Z20" s="198"/>
      <c r="AA20" s="199"/>
      <c r="AB20" s="53" t="s">
        <v>778</v>
      </c>
    </row>
    <row r="21" spans="1:28" s="51" customFormat="1" ht="126" hidden="1" x14ac:dyDescent="0.3">
      <c r="A21" s="125">
        <v>12</v>
      </c>
      <c r="B21" s="360" t="s">
        <v>406</v>
      </c>
      <c r="C21" s="361" t="s">
        <v>1032</v>
      </c>
      <c r="D21" s="55" t="s">
        <v>798</v>
      </c>
      <c r="E21" s="55" t="s">
        <v>697</v>
      </c>
      <c r="F21" s="55" t="s">
        <v>799</v>
      </c>
      <c r="G21" s="362" t="s">
        <v>761</v>
      </c>
      <c r="H21" s="338"/>
      <c r="I21" s="207"/>
      <c r="J21" s="120" t="s">
        <v>762</v>
      </c>
      <c r="K21" s="120" t="s">
        <v>762</v>
      </c>
      <c r="L21" s="120" t="s">
        <v>762</v>
      </c>
      <c r="M21" s="339"/>
      <c r="N21" s="116"/>
      <c r="O21" s="238"/>
      <c r="P21" s="116"/>
      <c r="Q21" s="116"/>
      <c r="R21" s="340" t="s">
        <v>772</v>
      </c>
      <c r="S21" s="363" t="s">
        <v>1033</v>
      </c>
      <c r="T21" s="238" t="s">
        <v>1035</v>
      </c>
      <c r="U21" s="341" t="s">
        <v>1031</v>
      </c>
      <c r="V21" s="363" t="s">
        <v>1001</v>
      </c>
      <c r="W21" s="342" t="s">
        <v>764</v>
      </c>
      <c r="X21" s="341" t="s">
        <v>1031</v>
      </c>
      <c r="Y21" s="344"/>
      <c r="Z21" s="345"/>
      <c r="AA21" s="364"/>
      <c r="AB21" s="365" t="s">
        <v>765</v>
      </c>
    </row>
    <row r="22" spans="1:28" s="51" customFormat="1" ht="84" x14ac:dyDescent="0.3">
      <c r="A22" s="391">
        <v>13</v>
      </c>
      <c r="B22" s="431" t="s">
        <v>178</v>
      </c>
      <c r="C22" s="441" t="s">
        <v>1106</v>
      </c>
      <c r="D22" s="296" t="s">
        <v>800</v>
      </c>
      <c r="E22" s="55" t="s">
        <v>674</v>
      </c>
      <c r="F22" s="277" t="s">
        <v>676</v>
      </c>
      <c r="G22" s="398" t="s">
        <v>761</v>
      </c>
      <c r="H22" s="120" t="s">
        <v>770</v>
      </c>
      <c r="I22" s="290" t="s">
        <v>762</v>
      </c>
      <c r="J22" s="120" t="s">
        <v>771</v>
      </c>
      <c r="K22" s="120" t="s">
        <v>771</v>
      </c>
      <c r="L22" s="271" t="s">
        <v>771</v>
      </c>
      <c r="M22" s="425">
        <v>1</v>
      </c>
      <c r="N22" s="292"/>
      <c r="O22" s="117"/>
      <c r="P22" s="116"/>
      <c r="Q22" s="273"/>
      <c r="R22" s="214" t="s">
        <v>784</v>
      </c>
      <c r="S22" s="411" t="s">
        <v>1106</v>
      </c>
      <c r="T22" s="411" t="s">
        <v>1105</v>
      </c>
      <c r="U22" s="112" t="s">
        <v>1094</v>
      </c>
      <c r="V22" s="228" t="s">
        <v>1108</v>
      </c>
      <c r="W22" s="215" t="s">
        <v>764</v>
      </c>
      <c r="X22" s="231"/>
      <c r="Y22" s="201"/>
      <c r="Z22" s="201"/>
      <c r="AA22" s="199"/>
      <c r="AB22" s="53" t="s">
        <v>765</v>
      </c>
    </row>
    <row r="23" spans="1:28" s="51" customFormat="1" ht="51.5" thickBot="1" x14ac:dyDescent="0.35">
      <c r="A23" s="391">
        <v>14</v>
      </c>
      <c r="B23" s="431" t="s">
        <v>685</v>
      </c>
      <c r="C23" s="441" t="s">
        <v>1135</v>
      </c>
      <c r="D23" s="296" t="s">
        <v>801</v>
      </c>
      <c r="E23" s="55" t="s">
        <v>674</v>
      </c>
      <c r="F23" s="277" t="s">
        <v>676</v>
      </c>
      <c r="G23" s="398" t="s">
        <v>761</v>
      </c>
      <c r="H23" s="120" t="s">
        <v>770</v>
      </c>
      <c r="I23" s="290" t="s">
        <v>762</v>
      </c>
      <c r="J23" s="120" t="s">
        <v>771</v>
      </c>
      <c r="K23" s="120" t="s">
        <v>771</v>
      </c>
      <c r="L23" s="271" t="s">
        <v>771</v>
      </c>
      <c r="M23" s="421">
        <v>32</v>
      </c>
      <c r="N23" s="292"/>
      <c r="O23" s="116"/>
      <c r="P23" s="116"/>
      <c r="Q23" s="273"/>
      <c r="R23" s="214" t="s">
        <v>784</v>
      </c>
      <c r="S23" s="392" t="s">
        <v>1135</v>
      </c>
      <c r="T23" s="422">
        <v>31</v>
      </c>
      <c r="U23" s="403" t="s">
        <v>1103</v>
      </c>
      <c r="V23" s="228" t="s">
        <v>1104</v>
      </c>
      <c r="W23" s="215" t="s">
        <v>764</v>
      </c>
      <c r="X23" s="239" t="s">
        <v>1036</v>
      </c>
      <c r="Y23" s="200"/>
      <c r="Z23" s="201"/>
      <c r="AA23" s="199"/>
      <c r="AB23" s="53" t="s">
        <v>765</v>
      </c>
    </row>
    <row r="24" spans="1:28" s="51" customFormat="1" ht="42.5" hidden="1" thickBot="1" x14ac:dyDescent="0.35">
      <c r="A24" s="391">
        <v>15</v>
      </c>
      <c r="B24" s="413" t="s">
        <v>802</v>
      </c>
      <c r="C24" s="442"/>
      <c r="D24" s="296" t="s">
        <v>803</v>
      </c>
      <c r="E24" s="55" t="s">
        <v>804</v>
      </c>
      <c r="F24" s="277" t="s">
        <v>676</v>
      </c>
      <c r="G24" s="398" t="s">
        <v>761</v>
      </c>
      <c r="H24" s="120" t="s">
        <v>770</v>
      </c>
      <c r="I24" s="290" t="s">
        <v>762</v>
      </c>
      <c r="J24" s="120" t="s">
        <v>771</v>
      </c>
      <c r="K24" s="120" t="s">
        <v>771</v>
      </c>
      <c r="L24" s="271" t="s">
        <v>771</v>
      </c>
      <c r="M24" s="116" t="s">
        <v>1124</v>
      </c>
      <c r="N24" s="292"/>
      <c r="O24" s="116"/>
      <c r="P24" s="116"/>
      <c r="Q24" s="273"/>
      <c r="R24" s="405" t="s">
        <v>763</v>
      </c>
      <c r="S24" s="116" t="s">
        <v>1101</v>
      </c>
      <c r="T24" s="116" t="s">
        <v>1101</v>
      </c>
      <c r="U24" s="408" t="s">
        <v>1123</v>
      </c>
      <c r="V24" s="228" t="s">
        <v>1002</v>
      </c>
      <c r="W24" s="215" t="s">
        <v>764</v>
      </c>
      <c r="X24" s="239"/>
      <c r="Y24" s="200"/>
      <c r="Z24" s="201"/>
      <c r="AA24" s="199"/>
      <c r="AB24" s="57" t="s">
        <v>805</v>
      </c>
    </row>
    <row r="25" spans="1:28" s="51" customFormat="1" ht="182.4" hidden="1" customHeight="1" thickBot="1" x14ac:dyDescent="0.3">
      <c r="A25" s="125">
        <v>16</v>
      </c>
      <c r="B25" s="366" t="s">
        <v>806</v>
      </c>
      <c r="C25" s="367" t="s">
        <v>1037</v>
      </c>
      <c r="D25" s="101" t="s">
        <v>786</v>
      </c>
      <c r="E25" s="101" t="s">
        <v>807</v>
      </c>
      <c r="F25" s="101" t="s">
        <v>808</v>
      </c>
      <c r="G25" s="362" t="s">
        <v>761</v>
      </c>
      <c r="H25" s="338"/>
      <c r="I25" s="120" t="s">
        <v>770</v>
      </c>
      <c r="J25" s="120" t="s">
        <v>762</v>
      </c>
      <c r="K25" s="120" t="s">
        <v>771</v>
      </c>
      <c r="L25" s="120" t="s">
        <v>771</v>
      </c>
      <c r="M25" s="339"/>
      <c r="N25" s="116"/>
      <c r="O25" s="229"/>
      <c r="P25" s="116"/>
      <c r="Q25" s="116"/>
      <c r="R25" s="340" t="s">
        <v>784</v>
      </c>
      <c r="S25" s="339" t="s">
        <v>1037</v>
      </c>
      <c r="T25" s="339"/>
      <c r="U25" s="341" t="s">
        <v>1031</v>
      </c>
      <c r="V25" s="339" t="s">
        <v>1003</v>
      </c>
      <c r="W25" s="342" t="s">
        <v>764</v>
      </c>
      <c r="X25" s="341" t="s">
        <v>1031</v>
      </c>
      <c r="Y25" s="344"/>
      <c r="Z25" s="345"/>
      <c r="AA25" s="368"/>
      <c r="AB25" s="365" t="s">
        <v>778</v>
      </c>
    </row>
    <row r="26" spans="1:28" s="51" customFormat="1" ht="85.25" customHeight="1" x14ac:dyDescent="0.25">
      <c r="A26" s="391" t="s">
        <v>809</v>
      </c>
      <c r="B26" s="413" t="s">
        <v>810</v>
      </c>
      <c r="C26" s="431"/>
      <c r="D26" s="138" t="s">
        <v>811</v>
      </c>
      <c r="E26" s="138" t="s">
        <v>697</v>
      </c>
      <c r="F26" s="278" t="s">
        <v>812</v>
      </c>
      <c r="G26" s="413" t="s">
        <v>720</v>
      </c>
      <c r="H26" s="120" t="s">
        <v>770</v>
      </c>
      <c r="I26" s="290" t="s">
        <v>762</v>
      </c>
      <c r="J26" s="120" t="s">
        <v>771</v>
      </c>
      <c r="K26" s="120"/>
      <c r="L26" s="271"/>
      <c r="M26" s="422" t="s">
        <v>1145</v>
      </c>
      <c r="N26" s="292"/>
      <c r="O26" s="116"/>
      <c r="P26" s="116"/>
      <c r="Q26" s="273"/>
      <c r="R26" s="405" t="s">
        <v>784</v>
      </c>
      <c r="S26" s="424" t="s">
        <v>1121</v>
      </c>
      <c r="T26" s="411" t="s">
        <v>1122</v>
      </c>
      <c r="U26" s="409" t="s">
        <v>1125</v>
      </c>
      <c r="V26" s="116" t="s">
        <v>1004</v>
      </c>
      <c r="W26" s="215" t="s">
        <v>764</v>
      </c>
      <c r="X26" s="229"/>
      <c r="Y26" s="200"/>
      <c r="Z26" s="201"/>
      <c r="AA26" s="203"/>
      <c r="AB26" s="53"/>
    </row>
    <row r="27" spans="1:28" s="51" customFormat="1" ht="84" hidden="1" x14ac:dyDescent="0.3">
      <c r="A27" s="125">
        <v>18</v>
      </c>
      <c r="B27" s="360" t="s">
        <v>374</v>
      </c>
      <c r="C27" s="367" t="s">
        <v>1038</v>
      </c>
      <c r="D27" s="55" t="s">
        <v>813</v>
      </c>
      <c r="E27" s="55" t="s">
        <v>814</v>
      </c>
      <c r="F27" s="55" t="s">
        <v>815</v>
      </c>
      <c r="G27" s="362" t="s">
        <v>761</v>
      </c>
      <c r="H27" s="338"/>
      <c r="I27" s="207"/>
      <c r="J27" s="207"/>
      <c r="K27" s="120" t="s">
        <v>762</v>
      </c>
      <c r="L27" s="120" t="s">
        <v>762</v>
      </c>
      <c r="M27" s="339"/>
      <c r="N27" s="116"/>
      <c r="O27" s="242"/>
      <c r="P27" s="116"/>
      <c r="Q27" s="116"/>
      <c r="R27" s="340" t="s">
        <v>772</v>
      </c>
      <c r="S27" s="339" t="s">
        <v>1038</v>
      </c>
      <c r="T27" s="242" t="s">
        <v>1035</v>
      </c>
      <c r="U27" s="341" t="s">
        <v>1031</v>
      </c>
      <c r="V27" s="339" t="s">
        <v>1004</v>
      </c>
      <c r="W27" s="342" t="s">
        <v>764</v>
      </c>
      <c r="X27" s="341" t="s">
        <v>1031</v>
      </c>
      <c r="Y27" s="344"/>
      <c r="Z27" s="345"/>
      <c r="AA27" s="369"/>
      <c r="AB27" s="370" t="s">
        <v>816</v>
      </c>
    </row>
    <row r="28" spans="1:28" s="51" customFormat="1" ht="28.5" hidden="1" customHeight="1" x14ac:dyDescent="0.3">
      <c r="A28" s="391">
        <v>19</v>
      </c>
      <c r="B28" s="431" t="s">
        <v>419</v>
      </c>
      <c r="C28" s="404"/>
      <c r="D28" s="296" t="s">
        <v>817</v>
      </c>
      <c r="E28" s="99" t="s">
        <v>818</v>
      </c>
      <c r="F28" s="279" t="s">
        <v>674</v>
      </c>
      <c r="G28" s="398" t="s">
        <v>761</v>
      </c>
      <c r="H28" s="120" t="s">
        <v>770</v>
      </c>
      <c r="I28" s="290" t="s">
        <v>762</v>
      </c>
      <c r="J28" s="120" t="s">
        <v>771</v>
      </c>
      <c r="K28" s="120" t="s">
        <v>771</v>
      </c>
      <c r="L28" s="271" t="s">
        <v>771</v>
      </c>
      <c r="M28" s="406" t="s">
        <v>1133</v>
      </c>
      <c r="N28" s="292"/>
      <c r="O28" s="116"/>
      <c r="P28" s="116"/>
      <c r="Q28" s="273"/>
      <c r="R28" s="406" t="s">
        <v>1133</v>
      </c>
      <c r="S28" s="406" t="s">
        <v>1133</v>
      </c>
      <c r="T28" s="406" t="s">
        <v>1133</v>
      </c>
      <c r="U28" s="406" t="s">
        <v>1133</v>
      </c>
      <c r="V28" s="406" t="s">
        <v>1133</v>
      </c>
      <c r="W28" s="215" t="s">
        <v>764</v>
      </c>
      <c r="X28" s="240"/>
      <c r="Y28" s="200"/>
      <c r="Z28" s="201"/>
      <c r="AA28" s="199"/>
      <c r="AB28" s="110" t="s">
        <v>805</v>
      </c>
    </row>
    <row r="29" spans="1:28" s="51" customFormat="1" ht="56" hidden="1" x14ac:dyDescent="0.3">
      <c r="A29" s="391">
        <v>20</v>
      </c>
      <c r="B29" s="430" t="s">
        <v>431</v>
      </c>
      <c r="C29" s="404"/>
      <c r="D29" s="296" t="s">
        <v>819</v>
      </c>
      <c r="E29" s="55" t="s">
        <v>701</v>
      </c>
      <c r="F29" s="280" t="s">
        <v>820</v>
      </c>
      <c r="G29" s="398" t="s">
        <v>761</v>
      </c>
      <c r="H29" s="120" t="s">
        <v>770</v>
      </c>
      <c r="I29" s="290" t="s">
        <v>762</v>
      </c>
      <c r="J29" s="120" t="s">
        <v>771</v>
      </c>
      <c r="K29" s="120" t="s">
        <v>771</v>
      </c>
      <c r="L29" s="271" t="s">
        <v>771</v>
      </c>
      <c r="M29" s="406" t="s">
        <v>1133</v>
      </c>
      <c r="N29" s="292"/>
      <c r="O29" s="212"/>
      <c r="P29" s="116"/>
      <c r="Q29" s="273"/>
      <c r="R29" s="406" t="s">
        <v>1133</v>
      </c>
      <c r="S29" s="406" t="s">
        <v>1133</v>
      </c>
      <c r="T29" s="406" t="s">
        <v>1133</v>
      </c>
      <c r="U29" s="406" t="s">
        <v>1133</v>
      </c>
      <c r="V29" s="406" t="s">
        <v>1133</v>
      </c>
      <c r="W29" s="215" t="s">
        <v>764</v>
      </c>
      <c r="X29" s="229"/>
      <c r="Y29" s="200"/>
      <c r="Z29" s="201"/>
      <c r="AA29" s="199"/>
      <c r="AB29" s="110" t="s">
        <v>805</v>
      </c>
    </row>
    <row r="30" spans="1:28" s="51" customFormat="1" ht="28.5" hidden="1" customHeight="1" x14ac:dyDescent="0.3">
      <c r="A30" s="125">
        <v>21</v>
      </c>
      <c r="B30" s="371" t="s">
        <v>372</v>
      </c>
      <c r="C30" s="372" t="s">
        <v>1040</v>
      </c>
      <c r="D30" s="55" t="s">
        <v>821</v>
      </c>
      <c r="E30" s="55" t="s">
        <v>701</v>
      </c>
      <c r="F30" s="55" t="s">
        <v>820</v>
      </c>
      <c r="G30" s="373" t="s">
        <v>761</v>
      </c>
      <c r="H30" s="350"/>
      <c r="I30" s="207"/>
      <c r="J30" s="120" t="s">
        <v>762</v>
      </c>
      <c r="K30" s="120" t="s">
        <v>762</v>
      </c>
      <c r="L30" s="120" t="s">
        <v>762</v>
      </c>
      <c r="M30" s="351"/>
      <c r="N30" s="116"/>
      <c r="O30" s="242"/>
      <c r="P30" s="116"/>
      <c r="Q30" s="116"/>
      <c r="R30" s="352" t="s">
        <v>996</v>
      </c>
      <c r="S30" s="351" t="s">
        <v>1040</v>
      </c>
      <c r="T30" s="242" t="s">
        <v>1035</v>
      </c>
      <c r="U30" s="353" t="s">
        <v>1031</v>
      </c>
      <c r="V30" s="351"/>
      <c r="W30" s="354" t="s">
        <v>764</v>
      </c>
      <c r="X30" s="353" t="s">
        <v>1031</v>
      </c>
      <c r="Y30" s="356"/>
      <c r="Z30" s="357"/>
      <c r="AA30" s="374"/>
      <c r="AB30" s="375" t="s">
        <v>765</v>
      </c>
    </row>
    <row r="31" spans="1:28" s="51" customFormat="1" ht="71" hidden="1" customHeight="1" x14ac:dyDescent="0.3">
      <c r="A31" s="125">
        <v>22</v>
      </c>
      <c r="B31" s="64" t="s">
        <v>822</v>
      </c>
      <c r="C31" s="101" t="s">
        <v>758</v>
      </c>
      <c r="D31" s="101" t="s">
        <v>821</v>
      </c>
      <c r="E31" s="101" t="s">
        <v>701</v>
      </c>
      <c r="F31" s="55" t="s">
        <v>820</v>
      </c>
      <c r="G31" s="54" t="s">
        <v>761</v>
      </c>
      <c r="H31" s="207"/>
      <c r="I31" s="207"/>
      <c r="J31" s="207"/>
      <c r="K31" s="207"/>
      <c r="L31" s="120" t="s">
        <v>762</v>
      </c>
      <c r="M31" s="116"/>
      <c r="N31" s="116"/>
      <c r="O31" s="116"/>
      <c r="P31" s="116"/>
      <c r="Q31" s="116"/>
      <c r="R31" s="214" t="s">
        <v>996</v>
      </c>
      <c r="S31" s="116"/>
      <c r="T31" s="116"/>
      <c r="U31" s="116"/>
      <c r="V31" s="116"/>
      <c r="W31" s="215" t="s">
        <v>764</v>
      </c>
      <c r="X31" s="232"/>
      <c r="Y31" s="204"/>
      <c r="Z31" s="198"/>
      <c r="AA31" s="202"/>
      <c r="AB31" s="135" t="s">
        <v>778</v>
      </c>
    </row>
    <row r="32" spans="1:28" s="51" customFormat="1" ht="36" hidden="1" customHeight="1" x14ac:dyDescent="0.3">
      <c r="A32" s="125">
        <v>23</v>
      </c>
      <c r="B32" s="64" t="s">
        <v>411</v>
      </c>
      <c r="C32" s="101" t="s">
        <v>1041</v>
      </c>
      <c r="D32" s="101" t="s">
        <v>823</v>
      </c>
      <c r="E32" s="101" t="s">
        <v>787</v>
      </c>
      <c r="F32" s="101" t="s">
        <v>824</v>
      </c>
      <c r="G32" s="54" t="s">
        <v>761</v>
      </c>
      <c r="H32" s="207"/>
      <c r="I32" s="207"/>
      <c r="J32" s="120" t="s">
        <v>762</v>
      </c>
      <c r="K32" s="120" t="s">
        <v>762</v>
      </c>
      <c r="L32" s="120" t="s">
        <v>762</v>
      </c>
      <c r="M32" s="116"/>
      <c r="N32" s="116"/>
      <c r="O32" s="242"/>
      <c r="P32" s="116"/>
      <c r="Q32" s="116"/>
      <c r="R32" s="214" t="s">
        <v>772</v>
      </c>
      <c r="S32" s="116" t="s">
        <v>1041</v>
      </c>
      <c r="T32" s="242" t="s">
        <v>1035</v>
      </c>
      <c r="U32" s="229" t="s">
        <v>1031</v>
      </c>
      <c r="V32" s="116" t="s">
        <v>1005</v>
      </c>
      <c r="W32" s="215" t="s">
        <v>764</v>
      </c>
      <c r="X32" s="229" t="s">
        <v>1031</v>
      </c>
      <c r="Y32" s="200"/>
      <c r="Z32" s="201"/>
      <c r="AA32" s="202"/>
      <c r="AB32" s="53" t="s">
        <v>765</v>
      </c>
    </row>
    <row r="33" spans="1:29" s="51" customFormat="1" ht="84" hidden="1" x14ac:dyDescent="0.3">
      <c r="A33" s="125">
        <v>24</v>
      </c>
      <c r="B33" s="99" t="s">
        <v>825</v>
      </c>
      <c r="C33" s="101" t="s">
        <v>1044</v>
      </c>
      <c r="D33" s="55" t="s">
        <v>826</v>
      </c>
      <c r="E33" s="55" t="s">
        <v>804</v>
      </c>
      <c r="F33" s="54" t="s">
        <v>676</v>
      </c>
      <c r="G33" s="54" t="s">
        <v>761</v>
      </c>
      <c r="H33" s="207"/>
      <c r="I33" s="120" t="s">
        <v>770</v>
      </c>
      <c r="J33" s="207"/>
      <c r="K33" s="120" t="s">
        <v>771</v>
      </c>
      <c r="L33" s="120" t="s">
        <v>762</v>
      </c>
      <c r="M33" s="116"/>
      <c r="N33" s="116"/>
      <c r="O33" s="116"/>
      <c r="P33" s="116"/>
      <c r="Q33" s="116"/>
      <c r="R33" s="214" t="s">
        <v>772</v>
      </c>
      <c r="S33" s="116" t="s">
        <v>1044</v>
      </c>
      <c r="T33" s="116" t="s">
        <v>1045</v>
      </c>
      <c r="U33" s="240" t="s">
        <v>1043</v>
      </c>
      <c r="V33" s="116" t="s">
        <v>1006</v>
      </c>
      <c r="W33" s="215" t="s">
        <v>764</v>
      </c>
      <c r="X33" s="239" t="s">
        <v>1043</v>
      </c>
      <c r="Y33" s="200"/>
      <c r="Z33" s="201"/>
      <c r="AA33" s="202"/>
      <c r="AB33" s="53" t="s">
        <v>778</v>
      </c>
    </row>
    <row r="34" spans="1:29" s="51" customFormat="1" ht="84" hidden="1" x14ac:dyDescent="0.3">
      <c r="A34" s="125">
        <v>25</v>
      </c>
      <c r="B34" s="64" t="s">
        <v>827</v>
      </c>
      <c r="C34" s="101" t="s">
        <v>1046</v>
      </c>
      <c r="D34" s="55" t="s">
        <v>828</v>
      </c>
      <c r="E34" s="55" t="s">
        <v>697</v>
      </c>
      <c r="F34" s="55" t="s">
        <v>812</v>
      </c>
      <c r="G34" s="54" t="s">
        <v>761</v>
      </c>
      <c r="H34" s="207"/>
      <c r="I34" s="207"/>
      <c r="J34" s="121" t="s">
        <v>770</v>
      </c>
      <c r="K34" s="121" t="s">
        <v>762</v>
      </c>
      <c r="L34" s="121" t="s">
        <v>762</v>
      </c>
      <c r="M34" s="116"/>
      <c r="N34" s="116"/>
      <c r="O34" s="242"/>
      <c r="P34" s="116"/>
      <c r="Q34" s="116"/>
      <c r="R34" s="214" t="s">
        <v>772</v>
      </c>
      <c r="S34" s="116" t="s">
        <v>1046</v>
      </c>
      <c r="T34" s="242" t="s">
        <v>1035</v>
      </c>
      <c r="U34" s="229" t="s">
        <v>1031</v>
      </c>
      <c r="V34" s="116" t="s">
        <v>1007</v>
      </c>
      <c r="W34" s="215" t="s">
        <v>764</v>
      </c>
      <c r="X34" s="229" t="s">
        <v>1031</v>
      </c>
      <c r="Y34" s="200"/>
      <c r="Z34" s="201"/>
      <c r="AA34" s="202"/>
      <c r="AB34" s="57" t="s">
        <v>805</v>
      </c>
    </row>
    <row r="35" spans="1:29" s="51" customFormat="1" ht="28.5" hidden="1" customHeight="1" x14ac:dyDescent="0.3">
      <c r="A35" s="125">
        <v>25</v>
      </c>
      <c r="B35" s="55" t="s">
        <v>366</v>
      </c>
      <c r="C35" s="101" t="s">
        <v>758</v>
      </c>
      <c r="D35" s="55" t="s">
        <v>829</v>
      </c>
      <c r="E35" s="54" t="s">
        <v>697</v>
      </c>
      <c r="F35" s="55" t="s">
        <v>812</v>
      </c>
      <c r="G35" s="54" t="s">
        <v>761</v>
      </c>
      <c r="H35" s="207"/>
      <c r="I35" s="207"/>
      <c r="J35" s="121" t="s">
        <v>770</v>
      </c>
      <c r="K35" s="121" t="s">
        <v>762</v>
      </c>
      <c r="L35" s="121" t="s">
        <v>762</v>
      </c>
      <c r="M35" s="116"/>
      <c r="N35" s="116"/>
      <c r="O35" s="116"/>
      <c r="P35" s="116"/>
      <c r="Q35" s="116"/>
      <c r="R35" s="214" t="s">
        <v>996</v>
      </c>
      <c r="S35" s="116"/>
      <c r="T35" s="116"/>
      <c r="U35" s="116"/>
      <c r="V35" s="116"/>
      <c r="W35" s="215" t="s">
        <v>764</v>
      </c>
      <c r="X35" s="232"/>
      <c r="Y35" s="200"/>
      <c r="Z35" s="201"/>
      <c r="AA35" s="202"/>
      <c r="AB35" s="57" t="s">
        <v>805</v>
      </c>
    </row>
    <row r="36" spans="1:29" s="51" customFormat="1" ht="33.75" hidden="1" customHeight="1" x14ac:dyDescent="0.3">
      <c r="A36" s="125">
        <v>25</v>
      </c>
      <c r="B36" s="64" t="s">
        <v>830</v>
      </c>
      <c r="C36" s="101" t="s">
        <v>758</v>
      </c>
      <c r="D36" s="55" t="s">
        <v>831</v>
      </c>
      <c r="E36" s="55" t="s">
        <v>697</v>
      </c>
      <c r="F36" s="55" t="s">
        <v>812</v>
      </c>
      <c r="G36" s="54" t="s">
        <v>761</v>
      </c>
      <c r="H36" s="207"/>
      <c r="I36" s="207"/>
      <c r="J36" s="121" t="s">
        <v>770</v>
      </c>
      <c r="K36" s="121" t="s">
        <v>762</v>
      </c>
      <c r="L36" s="121" t="s">
        <v>762</v>
      </c>
      <c r="M36" s="116"/>
      <c r="N36" s="116"/>
      <c r="O36" s="116"/>
      <c r="P36" s="116"/>
      <c r="Q36" s="116"/>
      <c r="R36" s="214" t="s">
        <v>996</v>
      </c>
      <c r="S36" s="116"/>
      <c r="T36" s="116"/>
      <c r="U36" s="116"/>
      <c r="V36" s="116"/>
      <c r="W36" s="215" t="s">
        <v>764</v>
      </c>
      <c r="X36" s="232"/>
      <c r="Y36" s="200"/>
      <c r="Z36" s="201"/>
      <c r="AA36" s="199"/>
      <c r="AB36" s="53" t="s">
        <v>778</v>
      </c>
    </row>
    <row r="37" spans="1:29" s="51" customFormat="1" ht="98" hidden="1" x14ac:dyDescent="0.3">
      <c r="A37" s="125">
        <v>25</v>
      </c>
      <c r="B37" s="64" t="s">
        <v>832</v>
      </c>
      <c r="C37" s="64" t="s">
        <v>1047</v>
      </c>
      <c r="D37" s="64" t="s">
        <v>833</v>
      </c>
      <c r="E37" s="64" t="s">
        <v>697</v>
      </c>
      <c r="F37" s="55" t="s">
        <v>812</v>
      </c>
      <c r="G37" s="64" t="s">
        <v>761</v>
      </c>
      <c r="H37" s="207"/>
      <c r="I37" s="207"/>
      <c r="J37" s="120" t="s">
        <v>770</v>
      </c>
      <c r="K37" s="120" t="s">
        <v>762</v>
      </c>
      <c r="L37" s="120" t="s">
        <v>762</v>
      </c>
      <c r="M37" s="116"/>
      <c r="N37" s="116"/>
      <c r="O37" s="242"/>
      <c r="P37" s="116"/>
      <c r="Q37" s="116"/>
      <c r="R37" s="214" t="s">
        <v>772</v>
      </c>
      <c r="S37" s="116" t="s">
        <v>1048</v>
      </c>
      <c r="T37" s="242" t="s">
        <v>1035</v>
      </c>
      <c r="U37" s="229" t="s">
        <v>1031</v>
      </c>
      <c r="V37" s="116" t="s">
        <v>1008</v>
      </c>
      <c r="W37" s="215" t="s">
        <v>764</v>
      </c>
      <c r="X37" s="229" t="s">
        <v>1031</v>
      </c>
      <c r="Y37" s="200"/>
      <c r="Z37" s="201"/>
      <c r="AA37" s="199"/>
      <c r="AB37" s="53"/>
    </row>
    <row r="38" spans="1:29" s="51" customFormat="1" ht="42" hidden="1" x14ac:dyDescent="0.3">
      <c r="A38" s="125">
        <v>25</v>
      </c>
      <c r="B38" s="326" t="s">
        <v>834</v>
      </c>
      <c r="C38" s="323" t="s">
        <v>1051</v>
      </c>
      <c r="D38" s="55" t="s">
        <v>835</v>
      </c>
      <c r="E38" s="55" t="s">
        <v>697</v>
      </c>
      <c r="F38" s="55" t="s">
        <v>836</v>
      </c>
      <c r="G38" s="322" t="s">
        <v>761</v>
      </c>
      <c r="H38" s="311"/>
      <c r="I38" s="207"/>
      <c r="J38" s="121" t="s">
        <v>770</v>
      </c>
      <c r="K38" s="121" t="s">
        <v>762</v>
      </c>
      <c r="L38" s="121" t="s">
        <v>762</v>
      </c>
      <c r="M38" s="312"/>
      <c r="N38" s="116"/>
      <c r="O38" s="242"/>
      <c r="P38" s="116"/>
      <c r="Q38" s="116"/>
      <c r="R38" s="313" t="s">
        <v>772</v>
      </c>
      <c r="S38" s="312" t="s">
        <v>1051</v>
      </c>
      <c r="T38" s="242" t="s">
        <v>1035</v>
      </c>
      <c r="U38" s="327" t="s">
        <v>1050</v>
      </c>
      <c r="V38" s="312" t="s">
        <v>1009</v>
      </c>
      <c r="W38" s="315" t="s">
        <v>764</v>
      </c>
      <c r="X38" s="328" t="s">
        <v>1050</v>
      </c>
      <c r="Y38" s="317"/>
      <c r="Z38" s="318"/>
      <c r="AA38" s="320"/>
      <c r="AB38" s="321" t="s">
        <v>778</v>
      </c>
    </row>
    <row r="39" spans="1:29" s="51" customFormat="1" ht="58.5" hidden="1" customHeight="1" x14ac:dyDescent="0.3">
      <c r="A39" s="391">
        <v>26</v>
      </c>
      <c r="B39" s="431" t="s">
        <v>837</v>
      </c>
      <c r="C39" s="404"/>
      <c r="D39" s="296" t="s">
        <v>838</v>
      </c>
      <c r="E39" s="55" t="s">
        <v>674</v>
      </c>
      <c r="F39" s="280" t="s">
        <v>839</v>
      </c>
      <c r="G39" s="398" t="s">
        <v>761</v>
      </c>
      <c r="H39" s="121" t="s">
        <v>762</v>
      </c>
      <c r="I39" s="289"/>
      <c r="J39" s="207"/>
      <c r="K39" s="207"/>
      <c r="L39" s="270"/>
      <c r="M39" s="214" t="s">
        <v>996</v>
      </c>
      <c r="N39" s="291"/>
      <c r="O39" s="117"/>
      <c r="P39" s="117"/>
      <c r="Q39" s="272"/>
      <c r="R39" s="214" t="s">
        <v>996</v>
      </c>
      <c r="S39" s="214" t="s">
        <v>996</v>
      </c>
      <c r="T39" s="214" t="s">
        <v>996</v>
      </c>
      <c r="U39" s="214" t="s">
        <v>996</v>
      </c>
      <c r="V39" s="116" t="s">
        <v>1096</v>
      </c>
      <c r="W39" s="215"/>
      <c r="X39" s="231"/>
      <c r="Y39" s="53"/>
      <c r="Z39" s="198"/>
      <c r="AA39" s="199"/>
      <c r="AB39" s="53" t="s">
        <v>778</v>
      </c>
    </row>
    <row r="40" spans="1:29" s="51" customFormat="1" ht="140" hidden="1" x14ac:dyDescent="0.3">
      <c r="A40" s="125">
        <v>27</v>
      </c>
      <c r="B40" s="371" t="s">
        <v>840</v>
      </c>
      <c r="C40" s="372" t="s">
        <v>1052</v>
      </c>
      <c r="D40" s="101" t="s">
        <v>841</v>
      </c>
      <c r="E40" s="64" t="s">
        <v>842</v>
      </c>
      <c r="F40" s="64" t="s">
        <v>843</v>
      </c>
      <c r="G40" s="373" t="s">
        <v>761</v>
      </c>
      <c r="H40" s="350"/>
      <c r="I40" s="207"/>
      <c r="J40" s="122" t="s">
        <v>762</v>
      </c>
      <c r="K40" s="122" t="s">
        <v>762</v>
      </c>
      <c r="L40" s="122" t="s">
        <v>762</v>
      </c>
      <c r="M40" s="351"/>
      <c r="N40" s="116"/>
      <c r="O40" s="242"/>
      <c r="P40" s="116"/>
      <c r="Q40" s="116"/>
      <c r="R40" s="352" t="s">
        <v>772</v>
      </c>
      <c r="S40" s="376" t="s">
        <v>1052</v>
      </c>
      <c r="T40" s="242" t="s">
        <v>1035</v>
      </c>
      <c r="U40" s="377" t="s">
        <v>1053</v>
      </c>
      <c r="V40" s="351" t="s">
        <v>1010</v>
      </c>
      <c r="W40" s="354" t="s">
        <v>764</v>
      </c>
      <c r="X40" s="378" t="s">
        <v>1054</v>
      </c>
      <c r="Y40" s="356"/>
      <c r="Z40" s="357"/>
      <c r="AA40" s="374"/>
      <c r="AB40" s="375" t="s">
        <v>778</v>
      </c>
    </row>
    <row r="41" spans="1:29" s="51" customFormat="1" ht="56" hidden="1" x14ac:dyDescent="0.3">
      <c r="A41" s="125">
        <v>28</v>
      </c>
      <c r="B41" s="55" t="s">
        <v>218</v>
      </c>
      <c r="C41" s="101" t="s">
        <v>1055</v>
      </c>
      <c r="D41" s="55" t="s">
        <v>844</v>
      </c>
      <c r="E41" s="64" t="s">
        <v>711</v>
      </c>
      <c r="F41" s="64" t="s">
        <v>845</v>
      </c>
      <c r="G41" s="54" t="s">
        <v>761</v>
      </c>
      <c r="H41" s="207"/>
      <c r="I41" s="207"/>
      <c r="J41" s="121" t="s">
        <v>762</v>
      </c>
      <c r="K41" s="121" t="s">
        <v>762</v>
      </c>
      <c r="L41" s="121" t="s">
        <v>762</v>
      </c>
      <c r="M41" s="116"/>
      <c r="N41" s="116"/>
      <c r="O41" s="116"/>
      <c r="P41" s="116"/>
      <c r="Q41" s="116"/>
      <c r="R41" s="214" t="s">
        <v>772</v>
      </c>
      <c r="S41" s="116" t="s">
        <v>1055</v>
      </c>
      <c r="T41" s="116" t="s">
        <v>943</v>
      </c>
      <c r="U41" s="240" t="s">
        <v>1056</v>
      </c>
      <c r="V41" s="116" t="s">
        <v>1011</v>
      </c>
      <c r="W41" s="215" t="s">
        <v>764</v>
      </c>
      <c r="X41" s="239" t="s">
        <v>1056</v>
      </c>
      <c r="Y41" s="200"/>
      <c r="Z41" s="201"/>
      <c r="AA41" s="202"/>
      <c r="AB41" s="53" t="s">
        <v>778</v>
      </c>
    </row>
    <row r="42" spans="1:29" s="51" customFormat="1" ht="56" hidden="1" x14ac:dyDescent="0.3">
      <c r="A42" s="125">
        <v>29</v>
      </c>
      <c r="B42" s="326" t="s">
        <v>846</v>
      </c>
      <c r="C42" s="326" t="s">
        <v>758</v>
      </c>
      <c r="D42" s="64" t="s">
        <v>847</v>
      </c>
      <c r="E42" s="64" t="s">
        <v>674</v>
      </c>
      <c r="F42" s="64" t="s">
        <v>777</v>
      </c>
      <c r="G42" s="326" t="s">
        <v>761</v>
      </c>
      <c r="H42" s="311"/>
      <c r="I42" s="207"/>
      <c r="J42" s="207"/>
      <c r="K42" s="121" t="s">
        <v>770</v>
      </c>
      <c r="L42" s="121" t="s">
        <v>762</v>
      </c>
      <c r="M42" s="312"/>
      <c r="N42" s="116"/>
      <c r="O42" s="116"/>
      <c r="P42" s="116"/>
      <c r="Q42" s="116"/>
      <c r="R42" s="313" t="s">
        <v>996</v>
      </c>
      <c r="S42" s="312"/>
      <c r="T42" s="312"/>
      <c r="U42" s="312"/>
      <c r="V42" s="312"/>
      <c r="W42" s="315" t="s">
        <v>764</v>
      </c>
      <c r="X42" s="329"/>
      <c r="Y42" s="317"/>
      <c r="Z42" s="318"/>
      <c r="AA42" s="324"/>
      <c r="AB42" s="321" t="s">
        <v>778</v>
      </c>
    </row>
    <row r="43" spans="1:29" s="51" customFormat="1" ht="42.75" customHeight="1" thickBot="1" x14ac:dyDescent="0.35">
      <c r="A43" s="391">
        <v>30</v>
      </c>
      <c r="B43" s="431" t="s">
        <v>848</v>
      </c>
      <c r="C43" s="404"/>
      <c r="D43" s="296" t="s">
        <v>849</v>
      </c>
      <c r="E43" s="55" t="s">
        <v>674</v>
      </c>
      <c r="F43" s="277" t="s">
        <v>676</v>
      </c>
      <c r="G43" s="398" t="s">
        <v>761</v>
      </c>
      <c r="H43" s="121" t="s">
        <v>770</v>
      </c>
      <c r="I43" s="297" t="s">
        <v>850</v>
      </c>
      <c r="J43" s="123" t="s">
        <v>771</v>
      </c>
      <c r="K43" s="123" t="s">
        <v>771</v>
      </c>
      <c r="L43" s="281" t="s">
        <v>771</v>
      </c>
      <c r="M43" s="421" t="s">
        <v>1101</v>
      </c>
      <c r="N43" s="292"/>
      <c r="O43" s="116"/>
      <c r="P43" s="116"/>
      <c r="Q43" s="273"/>
      <c r="R43" s="214" t="s">
        <v>784</v>
      </c>
      <c r="S43" s="411" t="s">
        <v>1120</v>
      </c>
      <c r="T43" s="411" t="s">
        <v>1101</v>
      </c>
      <c r="U43" s="428" t="s">
        <v>1119</v>
      </c>
      <c r="V43" s="406"/>
      <c r="W43" s="215" t="s">
        <v>764</v>
      </c>
      <c r="X43" s="239"/>
      <c r="Y43" s="200"/>
      <c r="Z43" s="201"/>
      <c r="AA43" s="199"/>
      <c r="AB43" s="53" t="s">
        <v>778</v>
      </c>
      <c r="AC43" s="51" t="s">
        <v>1142</v>
      </c>
    </row>
    <row r="44" spans="1:29" s="51" customFormat="1" ht="112" x14ac:dyDescent="0.3">
      <c r="A44" s="391">
        <v>31</v>
      </c>
      <c r="B44" s="413" t="s">
        <v>544</v>
      </c>
      <c r="C44" s="404"/>
      <c r="D44" s="294" t="s">
        <v>851</v>
      </c>
      <c r="E44" s="55" t="s">
        <v>852</v>
      </c>
      <c r="F44" s="277" t="s">
        <v>674</v>
      </c>
      <c r="G44" s="398" t="s">
        <v>761</v>
      </c>
      <c r="H44" s="121" t="s">
        <v>770</v>
      </c>
      <c r="I44" s="298" t="s">
        <v>762</v>
      </c>
      <c r="J44" s="123" t="s">
        <v>771</v>
      </c>
      <c r="K44" s="123" t="s">
        <v>771</v>
      </c>
      <c r="L44" s="281" t="s">
        <v>771</v>
      </c>
      <c r="M44" s="421">
        <v>1.3</v>
      </c>
      <c r="N44" s="292"/>
      <c r="O44" s="116"/>
      <c r="P44" s="116"/>
      <c r="Q44" s="273"/>
      <c r="R44" s="214" t="s">
        <v>784</v>
      </c>
      <c r="S44" s="116" t="s">
        <v>1115</v>
      </c>
      <c r="T44" s="116" t="s">
        <v>1116</v>
      </c>
      <c r="U44" s="240" t="s">
        <v>1114</v>
      </c>
      <c r="V44" s="116" t="s">
        <v>1012</v>
      </c>
      <c r="W44" s="215" t="s">
        <v>764</v>
      </c>
      <c r="X44" s="239"/>
      <c r="Y44" s="200"/>
      <c r="Z44" s="201"/>
      <c r="AA44" s="199"/>
      <c r="AB44" s="57" t="s">
        <v>805</v>
      </c>
    </row>
    <row r="45" spans="1:29" s="56" customFormat="1" ht="70" hidden="1" x14ac:dyDescent="0.3">
      <c r="A45" s="391" t="s">
        <v>113</v>
      </c>
      <c r="B45" s="413" t="s">
        <v>853</v>
      </c>
      <c r="C45" s="413" t="s">
        <v>854</v>
      </c>
      <c r="D45" s="294" t="s">
        <v>855</v>
      </c>
      <c r="E45" s="99" t="s">
        <v>711</v>
      </c>
      <c r="F45" s="279" t="s">
        <v>856</v>
      </c>
      <c r="G45" s="398" t="s">
        <v>761</v>
      </c>
      <c r="H45" s="121" t="s">
        <v>770</v>
      </c>
      <c r="I45" s="297" t="s">
        <v>771</v>
      </c>
      <c r="J45" s="123" t="s">
        <v>771</v>
      </c>
      <c r="K45" s="123" t="s">
        <v>771</v>
      </c>
      <c r="L45" s="281" t="s">
        <v>850</v>
      </c>
      <c r="M45" s="116" t="s">
        <v>1113</v>
      </c>
      <c r="N45" s="292"/>
      <c r="O45" s="116"/>
      <c r="P45" s="116"/>
      <c r="Q45" s="273"/>
      <c r="R45" s="214" t="s">
        <v>763</v>
      </c>
      <c r="S45" s="116" t="s">
        <v>1101</v>
      </c>
      <c r="T45" s="116" t="s">
        <v>1101</v>
      </c>
      <c r="U45" s="116" t="s">
        <v>1101</v>
      </c>
      <c r="V45" s="116"/>
      <c r="W45" s="215" t="s">
        <v>764</v>
      </c>
      <c r="X45" s="240" t="s">
        <v>1057</v>
      </c>
      <c r="Y45" s="204"/>
      <c r="Z45" s="198"/>
      <c r="AA45" s="199"/>
      <c r="AB45" s="59" t="s">
        <v>113</v>
      </c>
    </row>
    <row r="46" spans="1:29" s="58" customFormat="1" ht="42" hidden="1" x14ac:dyDescent="0.3">
      <c r="A46" s="125">
        <v>32</v>
      </c>
      <c r="B46" s="379" t="s">
        <v>709</v>
      </c>
      <c r="C46" s="372" t="s">
        <v>1058</v>
      </c>
      <c r="D46" s="55" t="s">
        <v>857</v>
      </c>
      <c r="E46" s="55" t="s">
        <v>711</v>
      </c>
      <c r="F46" s="54" t="s">
        <v>674</v>
      </c>
      <c r="G46" s="373" t="s">
        <v>761</v>
      </c>
      <c r="H46" s="350"/>
      <c r="I46" s="121" t="s">
        <v>762</v>
      </c>
      <c r="J46" s="121" t="s">
        <v>771</v>
      </c>
      <c r="K46" s="121" t="s">
        <v>771</v>
      </c>
      <c r="L46" s="121" t="s">
        <v>771</v>
      </c>
      <c r="M46" s="351"/>
      <c r="N46" s="116"/>
      <c r="O46" s="116"/>
      <c r="P46" s="116"/>
      <c r="Q46" s="116"/>
      <c r="R46" s="352" t="s">
        <v>772</v>
      </c>
      <c r="S46" s="351" t="s">
        <v>1058</v>
      </c>
      <c r="T46" s="351" t="s">
        <v>77</v>
      </c>
      <c r="U46" s="380" t="s">
        <v>1059</v>
      </c>
      <c r="V46" s="351" t="s">
        <v>1013</v>
      </c>
      <c r="W46" s="354" t="s">
        <v>764</v>
      </c>
      <c r="X46" s="378" t="s">
        <v>1059</v>
      </c>
      <c r="Y46" s="356"/>
      <c r="Z46" s="357"/>
      <c r="AA46" s="374"/>
      <c r="AB46" s="375" t="s">
        <v>765</v>
      </c>
    </row>
    <row r="47" spans="1:29" s="56" customFormat="1" ht="84" hidden="1" x14ac:dyDescent="0.3">
      <c r="A47" s="125">
        <v>33</v>
      </c>
      <c r="B47" s="154" t="s">
        <v>578</v>
      </c>
      <c r="C47" s="101" t="s">
        <v>1060</v>
      </c>
      <c r="D47" s="101" t="s">
        <v>858</v>
      </c>
      <c r="E47" s="101" t="s">
        <v>787</v>
      </c>
      <c r="F47" s="101" t="s">
        <v>859</v>
      </c>
      <c r="G47" s="54" t="s">
        <v>761</v>
      </c>
      <c r="H47" s="207"/>
      <c r="I47" s="207"/>
      <c r="J47" s="121" t="s">
        <v>762</v>
      </c>
      <c r="K47" s="121" t="s">
        <v>762</v>
      </c>
      <c r="L47" s="121" t="s">
        <v>762</v>
      </c>
      <c r="M47" s="116"/>
      <c r="N47" s="116"/>
      <c r="O47" s="242"/>
      <c r="P47" s="116"/>
      <c r="Q47" s="116"/>
      <c r="R47" s="214" t="s">
        <v>772</v>
      </c>
      <c r="S47" s="116" t="s">
        <v>1060</v>
      </c>
      <c r="T47" s="242" t="s">
        <v>1035</v>
      </c>
      <c r="U47" s="229" t="s">
        <v>1031</v>
      </c>
      <c r="V47" s="116" t="s">
        <v>1015</v>
      </c>
      <c r="W47" s="215" t="s">
        <v>764</v>
      </c>
      <c r="X47" s="229" t="s">
        <v>1031</v>
      </c>
      <c r="Y47" s="200"/>
      <c r="Z47" s="201"/>
      <c r="AA47" s="202"/>
      <c r="AB47" s="57" t="s">
        <v>805</v>
      </c>
    </row>
    <row r="48" spans="1:29" s="56" customFormat="1" ht="42" hidden="1" x14ac:dyDescent="0.3">
      <c r="A48" s="125">
        <v>34</v>
      </c>
      <c r="B48" s="330" t="s">
        <v>576</v>
      </c>
      <c r="C48" s="323" t="s">
        <v>758</v>
      </c>
      <c r="D48" s="101" t="s">
        <v>860</v>
      </c>
      <c r="E48" s="101" t="s">
        <v>861</v>
      </c>
      <c r="F48" s="101" t="s">
        <v>862</v>
      </c>
      <c r="G48" s="322" t="s">
        <v>761</v>
      </c>
      <c r="H48" s="311"/>
      <c r="I48" s="207"/>
      <c r="J48" s="207"/>
      <c r="K48" s="121" t="s">
        <v>762</v>
      </c>
      <c r="L48" s="121" t="s">
        <v>762</v>
      </c>
      <c r="M48" s="312"/>
      <c r="N48" s="116"/>
      <c r="O48" s="116"/>
      <c r="P48" s="116"/>
      <c r="Q48" s="116"/>
      <c r="R48" s="313" t="s">
        <v>772</v>
      </c>
      <c r="S48" s="312"/>
      <c r="T48" s="312"/>
      <c r="U48" s="312"/>
      <c r="V48" s="312" t="s">
        <v>1016</v>
      </c>
      <c r="W48" s="315" t="s">
        <v>764</v>
      </c>
      <c r="X48" s="316"/>
      <c r="Y48" s="317"/>
      <c r="Z48" s="318"/>
      <c r="AA48" s="320" t="s">
        <v>1061</v>
      </c>
      <c r="AB48" s="321" t="s">
        <v>778</v>
      </c>
    </row>
    <row r="49" spans="1:28" s="56" customFormat="1" ht="70" hidden="1" x14ac:dyDescent="0.3">
      <c r="A49" s="391">
        <v>35</v>
      </c>
      <c r="B49" s="404" t="s">
        <v>863</v>
      </c>
      <c r="C49" s="404"/>
      <c r="D49" s="299" t="s">
        <v>864</v>
      </c>
      <c r="E49" s="101" t="s">
        <v>865</v>
      </c>
      <c r="F49" s="276" t="s">
        <v>793</v>
      </c>
      <c r="G49" s="398" t="s">
        <v>761</v>
      </c>
      <c r="H49" s="124" t="s">
        <v>762</v>
      </c>
      <c r="I49" s="300" t="s">
        <v>771</v>
      </c>
      <c r="J49" s="121" t="s">
        <v>771</v>
      </c>
      <c r="K49" s="121" t="s">
        <v>771</v>
      </c>
      <c r="L49" s="282" t="s">
        <v>771</v>
      </c>
      <c r="M49" s="116" t="s">
        <v>1099</v>
      </c>
      <c r="N49" s="292"/>
      <c r="O49" s="116"/>
      <c r="P49" s="116"/>
      <c r="Q49" s="273"/>
      <c r="R49" s="214" t="s">
        <v>772</v>
      </c>
      <c r="S49" s="243" t="s">
        <v>1098</v>
      </c>
      <c r="T49" s="116" t="s">
        <v>1100</v>
      </c>
      <c r="U49" s="239" t="s">
        <v>1097</v>
      </c>
      <c r="V49" s="116" t="s">
        <v>1014</v>
      </c>
      <c r="W49" s="215" t="s">
        <v>764</v>
      </c>
      <c r="X49" s="239" t="s">
        <v>1097</v>
      </c>
      <c r="Y49" s="200"/>
      <c r="Z49" s="201"/>
      <c r="AA49" s="199"/>
      <c r="AB49" s="53" t="s">
        <v>778</v>
      </c>
    </row>
    <row r="50" spans="1:28" s="56" customFormat="1" ht="182" hidden="1" x14ac:dyDescent="0.3">
      <c r="A50" s="391">
        <v>37</v>
      </c>
      <c r="B50" s="439" t="s">
        <v>866</v>
      </c>
      <c r="C50" s="404"/>
      <c r="D50" s="296" t="s">
        <v>867</v>
      </c>
      <c r="E50" s="64" t="s">
        <v>711</v>
      </c>
      <c r="F50" s="275" t="s">
        <v>868</v>
      </c>
      <c r="G50" s="398" t="s">
        <v>761</v>
      </c>
      <c r="H50" s="123" t="s">
        <v>762</v>
      </c>
      <c r="I50" s="297" t="s">
        <v>762</v>
      </c>
      <c r="J50" s="123" t="s">
        <v>762</v>
      </c>
      <c r="K50" s="123" t="s">
        <v>762</v>
      </c>
      <c r="L50" s="281" t="s">
        <v>762</v>
      </c>
      <c r="M50" s="116" t="s">
        <v>1111</v>
      </c>
      <c r="N50" s="292"/>
      <c r="O50" s="116"/>
      <c r="P50" s="116"/>
      <c r="Q50" s="273"/>
      <c r="R50" s="214" t="s">
        <v>763</v>
      </c>
      <c r="S50" s="116" t="s">
        <v>1101</v>
      </c>
      <c r="T50" s="116" t="s">
        <v>1101</v>
      </c>
      <c r="U50" s="116" t="s">
        <v>1101</v>
      </c>
      <c r="V50" s="116" t="s">
        <v>1101</v>
      </c>
      <c r="W50" s="215"/>
      <c r="X50" s="240"/>
      <c r="Y50" s="200"/>
      <c r="Z50" s="201"/>
      <c r="AA50" s="199"/>
      <c r="AB50" s="53" t="s">
        <v>778</v>
      </c>
    </row>
    <row r="51" spans="1:28" s="56" customFormat="1" ht="42.75" hidden="1" customHeight="1" x14ac:dyDescent="0.3">
      <c r="A51" s="391">
        <v>38</v>
      </c>
      <c r="B51" s="404" t="s">
        <v>869</v>
      </c>
      <c r="C51" s="404"/>
      <c r="D51" s="299" t="s">
        <v>870</v>
      </c>
      <c r="E51" s="55" t="s">
        <v>871</v>
      </c>
      <c r="F51" s="280" t="s">
        <v>872</v>
      </c>
      <c r="G51" s="398" t="s">
        <v>761</v>
      </c>
      <c r="H51" s="121" t="s">
        <v>770</v>
      </c>
      <c r="I51" s="297" t="s">
        <v>771</v>
      </c>
      <c r="J51" s="123" t="s">
        <v>762</v>
      </c>
      <c r="K51" s="123" t="s">
        <v>771</v>
      </c>
      <c r="L51" s="281" t="s">
        <v>771</v>
      </c>
      <c r="M51" s="421" t="s">
        <v>1141</v>
      </c>
      <c r="N51" s="292"/>
      <c r="O51" s="116"/>
      <c r="P51" s="116"/>
      <c r="Q51" s="273"/>
      <c r="R51" s="214" t="s">
        <v>763</v>
      </c>
      <c r="S51" s="421" t="s">
        <v>1140</v>
      </c>
      <c r="T51" s="411" t="s">
        <v>1101</v>
      </c>
      <c r="U51" s="116" t="s">
        <v>1101</v>
      </c>
      <c r="V51" s="116" t="s">
        <v>1101</v>
      </c>
      <c r="W51" s="215"/>
      <c r="X51" s="240"/>
      <c r="Y51" s="200"/>
      <c r="Z51" s="201"/>
      <c r="AA51" s="199"/>
      <c r="AB51" s="53" t="s">
        <v>778</v>
      </c>
    </row>
    <row r="52" spans="1:28" s="56" customFormat="1" ht="224" hidden="1" x14ac:dyDescent="0.3">
      <c r="A52" s="125">
        <v>39</v>
      </c>
      <c r="B52" s="381" t="s">
        <v>190</v>
      </c>
      <c r="C52" s="382" t="s">
        <v>758</v>
      </c>
      <c r="D52" s="109" t="s">
        <v>873</v>
      </c>
      <c r="E52" s="109" t="s">
        <v>717</v>
      </c>
      <c r="F52" s="109" t="s">
        <v>874</v>
      </c>
      <c r="G52" s="348" t="s">
        <v>761</v>
      </c>
      <c r="H52" s="350"/>
      <c r="I52" s="123" t="s">
        <v>762</v>
      </c>
      <c r="J52" s="123" t="s">
        <v>762</v>
      </c>
      <c r="K52" s="207"/>
      <c r="L52" s="123" t="s">
        <v>762</v>
      </c>
      <c r="M52" s="351"/>
      <c r="N52" s="116"/>
      <c r="O52" s="116"/>
      <c r="P52" s="116"/>
      <c r="Q52" s="116"/>
      <c r="R52" s="352" t="s">
        <v>772</v>
      </c>
      <c r="S52" s="351"/>
      <c r="T52" s="351"/>
      <c r="U52" s="351"/>
      <c r="V52" s="351"/>
      <c r="W52" s="354" t="s">
        <v>764</v>
      </c>
      <c r="X52" s="383"/>
      <c r="Y52" s="356"/>
      <c r="Z52" s="357"/>
      <c r="AA52" s="384"/>
      <c r="AB52" s="385" t="s">
        <v>805</v>
      </c>
    </row>
    <row r="53" spans="1:28" s="51" customFormat="1" ht="70" hidden="1" x14ac:dyDescent="0.3">
      <c r="A53" s="125">
        <v>40</v>
      </c>
      <c r="B53" s="102" t="s">
        <v>208</v>
      </c>
      <c r="C53" s="102" t="s">
        <v>758</v>
      </c>
      <c r="D53" s="102" t="s">
        <v>875</v>
      </c>
      <c r="E53" s="108" t="s">
        <v>711</v>
      </c>
      <c r="F53" s="108" t="s">
        <v>876</v>
      </c>
      <c r="G53" s="109" t="s">
        <v>761</v>
      </c>
      <c r="H53" s="207"/>
      <c r="I53" s="207"/>
      <c r="J53" s="207"/>
      <c r="K53" s="207"/>
      <c r="L53" s="123" t="s">
        <v>762</v>
      </c>
      <c r="M53" s="116"/>
      <c r="N53" s="116"/>
      <c r="O53" s="116"/>
      <c r="P53" s="116"/>
      <c r="Q53" s="116"/>
      <c r="R53" s="214" t="s">
        <v>996</v>
      </c>
      <c r="S53" s="116"/>
      <c r="T53" s="116"/>
      <c r="U53" s="116"/>
      <c r="V53" s="116"/>
      <c r="W53" s="215" t="s">
        <v>764</v>
      </c>
      <c r="X53" s="233"/>
      <c r="Y53" s="200"/>
      <c r="Z53" s="201"/>
      <c r="AA53" s="205"/>
      <c r="AB53" s="57" t="s">
        <v>805</v>
      </c>
    </row>
    <row r="54" spans="1:28" s="51" customFormat="1" ht="126.65" hidden="1" customHeight="1" x14ac:dyDescent="0.3">
      <c r="A54" s="125">
        <v>41</v>
      </c>
      <c r="B54" s="331" t="s">
        <v>205</v>
      </c>
      <c r="C54" s="331" t="s">
        <v>758</v>
      </c>
      <c r="D54" s="102" t="s">
        <v>877</v>
      </c>
      <c r="E54" s="102" t="s">
        <v>717</v>
      </c>
      <c r="F54" s="102" t="s">
        <v>874</v>
      </c>
      <c r="G54" s="332" t="s">
        <v>761</v>
      </c>
      <c r="H54" s="311"/>
      <c r="I54" s="207"/>
      <c r="J54" s="207"/>
      <c r="K54" s="207"/>
      <c r="L54" s="123" t="s">
        <v>762</v>
      </c>
      <c r="M54" s="312"/>
      <c r="N54" s="116"/>
      <c r="O54" s="116"/>
      <c r="P54" s="116"/>
      <c r="Q54" s="116"/>
      <c r="R54" s="313" t="s">
        <v>772</v>
      </c>
      <c r="S54" s="312"/>
      <c r="T54" s="312"/>
      <c r="U54" s="312"/>
      <c r="V54" s="312"/>
      <c r="W54" s="315" t="s">
        <v>764</v>
      </c>
      <c r="X54" s="316"/>
      <c r="Y54" s="317"/>
      <c r="Z54" s="318"/>
      <c r="AA54" s="333"/>
      <c r="AB54" s="325" t="s">
        <v>805</v>
      </c>
    </row>
    <row r="55" spans="1:28" s="51" customFormat="1" ht="182" hidden="1" x14ac:dyDescent="0.3">
      <c r="A55" s="391">
        <v>42</v>
      </c>
      <c r="B55" s="443" t="s">
        <v>172</v>
      </c>
      <c r="C55" s="443"/>
      <c r="D55" s="301" t="s">
        <v>878</v>
      </c>
      <c r="E55" s="102" t="s">
        <v>711</v>
      </c>
      <c r="F55" s="283" t="s">
        <v>874</v>
      </c>
      <c r="G55" s="438" t="s">
        <v>761</v>
      </c>
      <c r="H55" s="123" t="s">
        <v>770</v>
      </c>
      <c r="I55" s="297" t="s">
        <v>771</v>
      </c>
      <c r="J55" s="207"/>
      <c r="K55" s="207"/>
      <c r="L55" s="270"/>
      <c r="M55" s="421">
        <v>0.2</v>
      </c>
      <c r="N55" s="292"/>
      <c r="O55" s="116"/>
      <c r="P55" s="116"/>
      <c r="Q55" s="273"/>
      <c r="R55" s="214" t="s">
        <v>763</v>
      </c>
      <c r="S55" s="116" t="s">
        <v>1109</v>
      </c>
      <c r="T55" s="116" t="s">
        <v>1101</v>
      </c>
      <c r="U55" s="116" t="s">
        <v>1101</v>
      </c>
      <c r="V55" s="116" t="s">
        <v>1101</v>
      </c>
      <c r="W55" s="215"/>
      <c r="X55" s="232"/>
      <c r="Y55" s="200"/>
      <c r="Z55" s="201"/>
      <c r="AA55" s="205"/>
      <c r="AB55" s="57" t="s">
        <v>879</v>
      </c>
    </row>
    <row r="56" spans="1:28" s="51" customFormat="1" ht="70" hidden="1" x14ac:dyDescent="0.3">
      <c r="A56" s="125">
        <v>43</v>
      </c>
      <c r="B56" s="382" t="s">
        <v>159</v>
      </c>
      <c r="C56" s="382" t="s">
        <v>758</v>
      </c>
      <c r="D56" s="102" t="s">
        <v>158</v>
      </c>
      <c r="E56" s="102" t="s">
        <v>777</v>
      </c>
      <c r="F56" s="102" t="s">
        <v>777</v>
      </c>
      <c r="G56" s="348" t="s">
        <v>777</v>
      </c>
      <c r="H56" s="350"/>
      <c r="I56" s="207"/>
      <c r="J56" s="207"/>
      <c r="K56" s="207"/>
      <c r="L56" s="207"/>
      <c r="M56" s="351"/>
      <c r="N56" s="116"/>
      <c r="O56" s="116"/>
      <c r="P56" s="116"/>
      <c r="Q56" s="116"/>
      <c r="R56" s="352" t="s">
        <v>772</v>
      </c>
      <c r="S56" s="351"/>
      <c r="T56" s="351"/>
      <c r="U56" s="351"/>
      <c r="V56" s="351"/>
      <c r="W56" s="354" t="s">
        <v>764</v>
      </c>
      <c r="X56" s="355"/>
      <c r="Y56" s="356"/>
      <c r="Z56" s="357"/>
      <c r="AA56" s="386"/>
      <c r="AB56" s="387" t="s">
        <v>113</v>
      </c>
    </row>
    <row r="57" spans="1:28" s="51" customFormat="1" ht="45" hidden="1" customHeight="1" x14ac:dyDescent="0.3">
      <c r="A57" s="125" t="s">
        <v>113</v>
      </c>
      <c r="B57" s="99" t="s">
        <v>880</v>
      </c>
      <c r="C57" s="99" t="s">
        <v>1039</v>
      </c>
      <c r="D57" s="101" t="s">
        <v>881</v>
      </c>
      <c r="E57" s="101" t="s">
        <v>861</v>
      </c>
      <c r="F57" s="101" t="s">
        <v>862</v>
      </c>
      <c r="G57" s="54" t="s">
        <v>761</v>
      </c>
      <c r="H57" s="207"/>
      <c r="I57" s="207"/>
      <c r="J57" s="123" t="s">
        <v>762</v>
      </c>
      <c r="K57" s="123" t="s">
        <v>771</v>
      </c>
      <c r="L57" s="123" t="s">
        <v>771</v>
      </c>
      <c r="M57" s="116"/>
      <c r="N57" s="116"/>
      <c r="O57" s="212"/>
      <c r="P57" s="116"/>
      <c r="Q57" s="116"/>
      <c r="R57" s="214" t="s">
        <v>772</v>
      </c>
      <c r="S57" s="212" t="s">
        <v>1039</v>
      </c>
      <c r="T57" s="212" t="s">
        <v>1034</v>
      </c>
      <c r="U57" s="229" t="s">
        <v>1031</v>
      </c>
      <c r="V57" s="116" t="s">
        <v>1017</v>
      </c>
      <c r="W57" s="215" t="s">
        <v>764</v>
      </c>
      <c r="X57" s="229" t="s">
        <v>1031</v>
      </c>
      <c r="Y57" s="200"/>
      <c r="Z57" s="201"/>
      <c r="AA57" s="202"/>
      <c r="AB57" s="59" t="s">
        <v>113</v>
      </c>
    </row>
    <row r="58" spans="1:28" s="51" customFormat="1" ht="84" hidden="1" x14ac:dyDescent="0.3">
      <c r="A58" s="125" t="s">
        <v>113</v>
      </c>
      <c r="B58" s="154" t="s">
        <v>378</v>
      </c>
      <c r="C58" s="55" t="s">
        <v>1062</v>
      </c>
      <c r="D58" s="101" t="s">
        <v>882</v>
      </c>
      <c r="E58" s="101" t="s">
        <v>787</v>
      </c>
      <c r="F58" s="101" t="s">
        <v>859</v>
      </c>
      <c r="G58" s="54" t="s">
        <v>761</v>
      </c>
      <c r="H58" s="207"/>
      <c r="I58" s="207"/>
      <c r="J58" s="207"/>
      <c r="K58" s="123" t="s">
        <v>762</v>
      </c>
      <c r="L58" s="123" t="s">
        <v>762</v>
      </c>
      <c r="M58" s="116"/>
      <c r="N58" s="116"/>
      <c r="O58" s="212"/>
      <c r="P58" s="116"/>
      <c r="Q58" s="116"/>
      <c r="R58" s="214" t="s">
        <v>772</v>
      </c>
      <c r="S58" s="116" t="s">
        <v>1062</v>
      </c>
      <c r="T58" s="212" t="s">
        <v>1034</v>
      </c>
      <c r="U58" s="229" t="s">
        <v>1031</v>
      </c>
      <c r="V58" s="116" t="s">
        <v>1018</v>
      </c>
      <c r="W58" s="215" t="s">
        <v>764</v>
      </c>
      <c r="X58" s="229" t="s">
        <v>1031</v>
      </c>
      <c r="Y58" s="200"/>
      <c r="Z58" s="201"/>
      <c r="AA58" s="199"/>
      <c r="AB58" s="59" t="s">
        <v>113</v>
      </c>
    </row>
    <row r="59" spans="1:28" s="51" customFormat="1" ht="42" hidden="1" x14ac:dyDescent="0.3">
      <c r="A59" s="125">
        <v>42</v>
      </c>
      <c r="B59" s="154" t="s">
        <v>883</v>
      </c>
      <c r="C59" s="99" t="s">
        <v>758</v>
      </c>
      <c r="D59" s="99" t="s">
        <v>884</v>
      </c>
      <c r="E59" s="101" t="s">
        <v>861</v>
      </c>
      <c r="F59" s="101" t="s">
        <v>862</v>
      </c>
      <c r="G59" s="54" t="s">
        <v>761</v>
      </c>
      <c r="H59" s="207"/>
      <c r="I59" s="207"/>
      <c r="J59" s="207"/>
      <c r="K59" s="123" t="s">
        <v>762</v>
      </c>
      <c r="L59" s="123" t="s">
        <v>762</v>
      </c>
      <c r="M59" s="116"/>
      <c r="N59" s="116"/>
      <c r="O59" s="116"/>
      <c r="P59" s="116"/>
      <c r="Q59" s="116"/>
      <c r="R59" s="214" t="s">
        <v>772</v>
      </c>
      <c r="S59" s="116"/>
      <c r="T59" s="116"/>
      <c r="U59" s="116"/>
      <c r="V59" s="116" t="s">
        <v>1019</v>
      </c>
      <c r="W59" s="215" t="s">
        <v>764</v>
      </c>
      <c r="X59" s="232"/>
      <c r="Y59" s="200"/>
      <c r="Z59" s="201"/>
      <c r="AA59" s="199" t="s">
        <v>1061</v>
      </c>
      <c r="AB59" s="53" t="s">
        <v>778</v>
      </c>
    </row>
    <row r="60" spans="1:28" s="51" customFormat="1" ht="70" hidden="1" x14ac:dyDescent="0.3">
      <c r="A60" s="125">
        <v>42</v>
      </c>
      <c r="B60" s="154" t="s">
        <v>885</v>
      </c>
      <c r="C60" s="99" t="s">
        <v>758</v>
      </c>
      <c r="D60" s="101" t="s">
        <v>886</v>
      </c>
      <c r="E60" s="101" t="s">
        <v>861</v>
      </c>
      <c r="F60" s="101" t="s">
        <v>862</v>
      </c>
      <c r="G60" s="54" t="s">
        <v>761</v>
      </c>
      <c r="H60" s="207"/>
      <c r="I60" s="207"/>
      <c r="J60" s="207"/>
      <c r="K60" s="123" t="s">
        <v>762</v>
      </c>
      <c r="L60" s="123" t="s">
        <v>762</v>
      </c>
      <c r="M60" s="116"/>
      <c r="N60" s="116"/>
      <c r="O60" s="116"/>
      <c r="P60" s="116"/>
      <c r="Q60" s="116"/>
      <c r="R60" s="214" t="s">
        <v>772</v>
      </c>
      <c r="S60" s="116"/>
      <c r="T60" s="116"/>
      <c r="U60" s="116"/>
      <c r="V60" s="116" t="s">
        <v>1020</v>
      </c>
      <c r="W60" s="215" t="s">
        <v>764</v>
      </c>
      <c r="X60" s="232"/>
      <c r="Y60" s="200"/>
      <c r="Z60" s="201"/>
      <c r="AA60" s="199" t="s">
        <v>1061</v>
      </c>
      <c r="AB60" s="53" t="s">
        <v>778</v>
      </c>
    </row>
    <row r="61" spans="1:28" s="51" customFormat="1" ht="70" hidden="1" x14ac:dyDescent="0.3">
      <c r="A61" s="125"/>
      <c r="B61" s="153" t="s">
        <v>887</v>
      </c>
      <c r="C61" s="64" t="s">
        <v>758</v>
      </c>
      <c r="D61" s="64" t="s">
        <v>886</v>
      </c>
      <c r="E61" s="101" t="s">
        <v>861</v>
      </c>
      <c r="F61" s="101" t="s">
        <v>862</v>
      </c>
      <c r="G61" s="64" t="s">
        <v>761</v>
      </c>
      <c r="H61" s="207"/>
      <c r="I61" s="207"/>
      <c r="J61" s="207"/>
      <c r="K61" s="120" t="s">
        <v>762</v>
      </c>
      <c r="L61" s="120" t="s">
        <v>762</v>
      </c>
      <c r="M61" s="116"/>
      <c r="N61" s="116"/>
      <c r="O61" s="116"/>
      <c r="P61" s="116"/>
      <c r="Q61" s="116"/>
      <c r="R61" s="214" t="s">
        <v>772</v>
      </c>
      <c r="S61" s="116"/>
      <c r="T61" s="116"/>
      <c r="U61" s="116"/>
      <c r="V61" s="116" t="s">
        <v>1021</v>
      </c>
      <c r="W61" s="215" t="s">
        <v>764</v>
      </c>
      <c r="X61" s="232"/>
      <c r="Y61" s="200"/>
      <c r="Z61" s="201"/>
      <c r="AA61" s="199" t="s">
        <v>1061</v>
      </c>
      <c r="AB61" s="53"/>
    </row>
    <row r="62" spans="1:28" s="51" customFormat="1" ht="37.5" hidden="1" x14ac:dyDescent="0.3">
      <c r="A62" s="125"/>
      <c r="B62" s="153" t="s">
        <v>888</v>
      </c>
      <c r="C62" s="64" t="s">
        <v>758</v>
      </c>
      <c r="D62" s="64" t="s">
        <v>889</v>
      </c>
      <c r="E62" s="64" t="s">
        <v>787</v>
      </c>
      <c r="F62" s="64" t="s">
        <v>859</v>
      </c>
      <c r="G62" s="64" t="s">
        <v>761</v>
      </c>
      <c r="H62" s="207"/>
      <c r="I62" s="207"/>
      <c r="J62" s="207"/>
      <c r="K62" s="120" t="s">
        <v>762</v>
      </c>
      <c r="L62" s="120" t="s">
        <v>762</v>
      </c>
      <c r="M62" s="116"/>
      <c r="N62" s="116"/>
      <c r="O62" s="116"/>
      <c r="P62" s="116"/>
      <c r="Q62" s="116"/>
      <c r="R62" s="214" t="s">
        <v>772</v>
      </c>
      <c r="S62" s="116"/>
      <c r="T62" s="116"/>
      <c r="U62" s="116"/>
      <c r="V62" s="116" t="s">
        <v>1022</v>
      </c>
      <c r="W62" s="215" t="s">
        <v>764</v>
      </c>
      <c r="X62" s="232"/>
      <c r="Y62" s="200"/>
      <c r="Z62" s="201"/>
      <c r="AA62" s="199" t="s">
        <v>1061</v>
      </c>
      <c r="AB62" s="53"/>
    </row>
    <row r="63" spans="1:28" s="51" customFormat="1" ht="42.5" hidden="1" x14ac:dyDescent="0.25">
      <c r="A63" s="125"/>
      <c r="B63" s="326" t="s">
        <v>890</v>
      </c>
      <c r="C63" s="326" t="s">
        <v>1064</v>
      </c>
      <c r="D63" s="64" t="s">
        <v>891</v>
      </c>
      <c r="E63" s="64" t="s">
        <v>674</v>
      </c>
      <c r="F63" s="64" t="s">
        <v>892</v>
      </c>
      <c r="G63" s="326" t="s">
        <v>761</v>
      </c>
      <c r="H63" s="311"/>
      <c r="I63" s="120" t="s">
        <v>762</v>
      </c>
      <c r="J63" s="120" t="s">
        <v>771</v>
      </c>
      <c r="K63" s="120" t="s">
        <v>771</v>
      </c>
      <c r="L63" s="120" t="s">
        <v>771</v>
      </c>
      <c r="M63" s="312"/>
      <c r="N63" s="116"/>
      <c r="O63" s="116"/>
      <c r="P63" s="116"/>
      <c r="Q63" s="116"/>
      <c r="R63" s="313" t="s">
        <v>784</v>
      </c>
      <c r="S63" s="312" t="s">
        <v>1064</v>
      </c>
      <c r="T63" s="312" t="s">
        <v>943</v>
      </c>
      <c r="U63" s="327" t="s">
        <v>1063</v>
      </c>
      <c r="V63" s="312" t="s">
        <v>1023</v>
      </c>
      <c r="W63" s="315" t="s">
        <v>764</v>
      </c>
      <c r="X63" s="327" t="s">
        <v>1063</v>
      </c>
      <c r="Y63" s="317"/>
      <c r="Z63" s="318"/>
      <c r="AA63" s="334"/>
      <c r="AB63" s="321"/>
    </row>
    <row r="64" spans="1:28" s="51" customFormat="1" ht="56" hidden="1" x14ac:dyDescent="0.25">
      <c r="A64" s="391" t="s">
        <v>893</v>
      </c>
      <c r="B64" s="439" t="s">
        <v>554</v>
      </c>
      <c r="C64" s="413"/>
      <c r="D64" s="296" t="s">
        <v>894</v>
      </c>
      <c r="E64" s="64" t="s">
        <v>895</v>
      </c>
      <c r="F64" s="275" t="s">
        <v>777</v>
      </c>
      <c r="G64" s="398" t="s">
        <v>896</v>
      </c>
      <c r="H64" s="121" t="s">
        <v>770</v>
      </c>
      <c r="I64" s="297" t="s">
        <v>771</v>
      </c>
      <c r="J64" s="123" t="s">
        <v>762</v>
      </c>
      <c r="K64" s="123" t="s">
        <v>762</v>
      </c>
      <c r="L64" s="281" t="s">
        <v>762</v>
      </c>
      <c r="M64" s="116" t="s">
        <v>1112</v>
      </c>
      <c r="N64" s="292"/>
      <c r="O64" s="116"/>
      <c r="P64" s="116"/>
      <c r="Q64" s="273"/>
      <c r="R64" s="214" t="s">
        <v>763</v>
      </c>
      <c r="S64" s="116" t="s">
        <v>1101</v>
      </c>
      <c r="T64" s="116" t="s">
        <v>1101</v>
      </c>
      <c r="U64" s="116" t="s">
        <v>1101</v>
      </c>
      <c r="V64" s="116" t="s">
        <v>1024</v>
      </c>
      <c r="W64" s="215" t="s">
        <v>764</v>
      </c>
      <c r="X64" s="240"/>
      <c r="Y64" s="204"/>
      <c r="Z64" s="204"/>
      <c r="AA64" s="206"/>
      <c r="AB64" s="57" t="s">
        <v>879</v>
      </c>
    </row>
    <row r="65" spans="1:28" ht="42" hidden="1" x14ac:dyDescent="0.25">
      <c r="A65" s="391" t="s">
        <v>893</v>
      </c>
      <c r="B65" s="439" t="s">
        <v>376</v>
      </c>
      <c r="C65" s="413" t="s">
        <v>1065</v>
      </c>
      <c r="D65" s="302" t="s">
        <v>897</v>
      </c>
      <c r="E65" s="64" t="s">
        <v>895</v>
      </c>
      <c r="F65" s="275" t="s">
        <v>777</v>
      </c>
      <c r="G65" s="439" t="s">
        <v>898</v>
      </c>
      <c r="H65" s="123" t="s">
        <v>762</v>
      </c>
      <c r="I65" s="297" t="s">
        <v>762</v>
      </c>
      <c r="J65" s="123" t="s">
        <v>762</v>
      </c>
      <c r="K65" s="123" t="s">
        <v>762</v>
      </c>
      <c r="L65" s="281" t="s">
        <v>762</v>
      </c>
      <c r="M65" s="116" t="s">
        <v>1110</v>
      </c>
      <c r="N65" s="292"/>
      <c r="O65" s="116"/>
      <c r="P65" s="116"/>
      <c r="Q65" s="273"/>
      <c r="R65" s="214" t="s">
        <v>763</v>
      </c>
      <c r="S65" s="116" t="s">
        <v>1101</v>
      </c>
      <c r="T65" s="116" t="s">
        <v>1101</v>
      </c>
      <c r="U65" s="116" t="s">
        <v>1101</v>
      </c>
      <c r="V65" s="116" t="s">
        <v>1101</v>
      </c>
      <c r="W65" s="215"/>
      <c r="X65" s="240"/>
      <c r="Y65" s="204"/>
      <c r="Z65" s="204"/>
      <c r="AA65" s="206"/>
      <c r="AB65" s="57" t="s">
        <v>879</v>
      </c>
    </row>
    <row r="66" spans="1:28" ht="140" hidden="1" x14ac:dyDescent="0.25">
      <c r="A66" s="125"/>
      <c r="B66" s="388" t="s">
        <v>899</v>
      </c>
      <c r="C66" s="388" t="s">
        <v>758</v>
      </c>
      <c r="D66" s="141" t="s">
        <v>900</v>
      </c>
      <c r="E66" s="141" t="s">
        <v>901</v>
      </c>
      <c r="F66" s="141" t="s">
        <v>113</v>
      </c>
      <c r="G66" s="388" t="s">
        <v>902</v>
      </c>
      <c r="H66" s="350"/>
      <c r="I66" s="120" t="s">
        <v>762</v>
      </c>
      <c r="J66" s="120" t="s">
        <v>762</v>
      </c>
      <c r="K66" s="120" t="s">
        <v>762</v>
      </c>
      <c r="L66" s="120" t="s">
        <v>762</v>
      </c>
      <c r="M66" s="351"/>
      <c r="N66" s="116"/>
      <c r="O66" s="116"/>
      <c r="P66" s="116"/>
      <c r="Q66" s="116"/>
      <c r="R66" s="352" t="s">
        <v>996</v>
      </c>
      <c r="S66" s="351"/>
      <c r="T66" s="351"/>
      <c r="U66" s="351"/>
      <c r="V66" s="351"/>
      <c r="W66" s="354" t="s">
        <v>764</v>
      </c>
      <c r="X66" s="355"/>
      <c r="Y66" s="389"/>
      <c r="Z66" s="389"/>
      <c r="AA66" s="390"/>
      <c r="AB66" s="385"/>
    </row>
    <row r="67" spans="1:28" ht="140" hidden="1" x14ac:dyDescent="0.25">
      <c r="A67" s="125"/>
      <c r="B67" s="141" t="s">
        <v>903</v>
      </c>
      <c r="C67" s="141" t="s">
        <v>758</v>
      </c>
      <c r="D67" s="141" t="s">
        <v>904</v>
      </c>
      <c r="E67" s="141" t="s">
        <v>905</v>
      </c>
      <c r="F67" s="141" t="s">
        <v>777</v>
      </c>
      <c r="G67" s="141" t="s">
        <v>902</v>
      </c>
      <c r="H67" s="207"/>
      <c r="I67" s="207"/>
      <c r="J67" s="207"/>
      <c r="K67" s="207"/>
      <c r="L67" s="120"/>
      <c r="M67" s="116"/>
      <c r="N67" s="116"/>
      <c r="O67" s="116"/>
      <c r="P67" s="116"/>
      <c r="Q67" s="116"/>
      <c r="R67" s="214" t="s">
        <v>996</v>
      </c>
      <c r="S67" s="116"/>
      <c r="T67" s="116"/>
      <c r="U67" s="116"/>
      <c r="V67" s="116"/>
      <c r="W67" s="215" t="s">
        <v>764</v>
      </c>
      <c r="X67" s="232"/>
      <c r="Y67" s="204"/>
      <c r="Z67" s="204"/>
      <c r="AA67" s="206"/>
      <c r="AB67" s="57"/>
    </row>
    <row r="68" spans="1:28" ht="98" hidden="1" x14ac:dyDescent="0.25">
      <c r="A68" s="125"/>
      <c r="B68" s="141" t="s">
        <v>906</v>
      </c>
      <c r="C68" s="141" t="s">
        <v>758</v>
      </c>
      <c r="D68" s="141" t="s">
        <v>907</v>
      </c>
      <c r="E68" s="141" t="s">
        <v>908</v>
      </c>
      <c r="F68" s="141" t="s">
        <v>777</v>
      </c>
      <c r="G68" s="141" t="s">
        <v>902</v>
      </c>
      <c r="H68" s="207"/>
      <c r="I68" s="207"/>
      <c r="J68" s="120" t="s">
        <v>762</v>
      </c>
      <c r="K68" s="207"/>
      <c r="L68" s="120"/>
      <c r="M68" s="116"/>
      <c r="N68" s="116"/>
      <c r="O68" s="116"/>
      <c r="P68" s="116"/>
      <c r="Q68" s="116"/>
      <c r="R68" s="214" t="s">
        <v>996</v>
      </c>
      <c r="S68" s="116"/>
      <c r="T68" s="116"/>
      <c r="U68" s="116"/>
      <c r="V68" s="116"/>
      <c r="W68" s="215" t="s">
        <v>764</v>
      </c>
      <c r="X68" s="232"/>
      <c r="Y68" s="204"/>
      <c r="Z68" s="204"/>
      <c r="AA68" s="206"/>
      <c r="AB68" s="57"/>
    </row>
    <row r="69" spans="1:28" ht="112" hidden="1" x14ac:dyDescent="0.25">
      <c r="A69" s="125"/>
      <c r="B69" s="141" t="s">
        <v>909</v>
      </c>
      <c r="C69" s="141" t="s">
        <v>758</v>
      </c>
      <c r="D69" s="141" t="s">
        <v>910</v>
      </c>
      <c r="E69" s="141" t="s">
        <v>908</v>
      </c>
      <c r="F69" s="141" t="s">
        <v>777</v>
      </c>
      <c r="G69" s="141" t="s">
        <v>902</v>
      </c>
      <c r="H69" s="207"/>
      <c r="I69" s="207"/>
      <c r="J69" s="120" t="s">
        <v>762</v>
      </c>
      <c r="K69" s="120" t="s">
        <v>762</v>
      </c>
      <c r="L69" s="120"/>
      <c r="M69" s="116"/>
      <c r="N69" s="116"/>
      <c r="O69" s="116"/>
      <c r="P69" s="116"/>
      <c r="Q69" s="116"/>
      <c r="R69" s="214" t="s">
        <v>996</v>
      </c>
      <c r="S69" s="116"/>
      <c r="T69" s="116"/>
      <c r="U69" s="116"/>
      <c r="V69" s="116"/>
      <c r="W69" s="215" t="s">
        <v>764</v>
      </c>
      <c r="X69" s="232"/>
      <c r="Y69" s="204"/>
      <c r="Z69" s="204"/>
      <c r="AA69" s="206"/>
      <c r="AB69" s="57"/>
    </row>
    <row r="70" spans="1:28" ht="168" hidden="1" x14ac:dyDescent="0.25">
      <c r="A70" s="125"/>
      <c r="B70" s="141" t="s">
        <v>911</v>
      </c>
      <c r="C70" s="141" t="s">
        <v>758</v>
      </c>
      <c r="D70" s="141" t="s">
        <v>912</v>
      </c>
      <c r="E70" s="141" t="s">
        <v>913</v>
      </c>
      <c r="F70" s="141" t="s">
        <v>777</v>
      </c>
      <c r="G70" s="141" t="s">
        <v>902</v>
      </c>
      <c r="H70" s="207"/>
      <c r="I70" s="207"/>
      <c r="J70" s="120"/>
      <c r="K70" s="120" t="s">
        <v>762</v>
      </c>
      <c r="L70" s="120"/>
      <c r="M70" s="116"/>
      <c r="N70" s="116"/>
      <c r="O70" s="116"/>
      <c r="P70" s="116"/>
      <c r="Q70" s="116"/>
      <c r="R70" s="214" t="s">
        <v>996</v>
      </c>
      <c r="S70" s="116"/>
      <c r="T70" s="116"/>
      <c r="U70" s="116"/>
      <c r="V70" s="116"/>
      <c r="W70" s="215" t="s">
        <v>764</v>
      </c>
      <c r="X70" s="232"/>
      <c r="Y70" s="204"/>
      <c r="Z70" s="204"/>
      <c r="AA70" s="206"/>
      <c r="AB70" s="57"/>
    </row>
    <row r="71" spans="1:28" ht="42" hidden="1" x14ac:dyDescent="0.25">
      <c r="A71" s="125"/>
      <c r="B71" s="335" t="s">
        <v>914</v>
      </c>
      <c r="C71" s="335" t="s">
        <v>758</v>
      </c>
      <c r="D71" s="141" t="s">
        <v>915</v>
      </c>
      <c r="E71" s="141" t="s">
        <v>913</v>
      </c>
      <c r="F71" s="141" t="s">
        <v>113</v>
      </c>
      <c r="G71" s="335" t="s">
        <v>902</v>
      </c>
      <c r="H71" s="311"/>
      <c r="I71" s="207"/>
      <c r="J71" s="207"/>
      <c r="K71" s="207"/>
      <c r="L71" s="120" t="s">
        <v>762</v>
      </c>
      <c r="M71" s="312"/>
      <c r="N71" s="116"/>
      <c r="O71" s="116"/>
      <c r="P71" s="116"/>
      <c r="Q71" s="116"/>
      <c r="R71" s="313" t="s">
        <v>996</v>
      </c>
      <c r="S71" s="312"/>
      <c r="T71" s="312"/>
      <c r="U71" s="312"/>
      <c r="V71" s="312"/>
      <c r="W71" s="315" t="s">
        <v>764</v>
      </c>
      <c r="X71" s="316"/>
      <c r="Y71" s="336"/>
      <c r="Z71" s="336"/>
      <c r="AA71" s="334"/>
      <c r="AB71" s="325"/>
    </row>
    <row r="72" spans="1:28" ht="126" hidden="1" x14ac:dyDescent="0.25">
      <c r="A72" s="391"/>
      <c r="B72" s="433" t="s">
        <v>916</v>
      </c>
      <c r="C72" s="433"/>
      <c r="D72" s="303" t="s">
        <v>917</v>
      </c>
      <c r="E72" s="141" t="s">
        <v>913</v>
      </c>
      <c r="F72" s="284" t="s">
        <v>777</v>
      </c>
      <c r="G72" s="433" t="s">
        <v>902</v>
      </c>
      <c r="H72" s="434" t="s">
        <v>770</v>
      </c>
      <c r="I72" s="290" t="s">
        <v>771</v>
      </c>
      <c r="J72" s="120" t="s">
        <v>762</v>
      </c>
      <c r="K72" s="207"/>
      <c r="L72" s="271"/>
      <c r="M72" s="214" t="s">
        <v>996</v>
      </c>
      <c r="N72" s="292"/>
      <c r="O72" s="116"/>
      <c r="P72" s="116"/>
      <c r="Q72" s="273"/>
      <c r="R72" s="214" t="s">
        <v>996</v>
      </c>
      <c r="S72" s="214" t="s">
        <v>996</v>
      </c>
      <c r="T72" s="214" t="s">
        <v>996</v>
      </c>
      <c r="U72" s="214" t="s">
        <v>996</v>
      </c>
      <c r="V72" s="214" t="s">
        <v>996</v>
      </c>
      <c r="W72" s="215" t="s">
        <v>764</v>
      </c>
      <c r="X72" s="232"/>
      <c r="Y72" s="204"/>
      <c r="Z72" s="204"/>
      <c r="AA72" s="206"/>
      <c r="AB72" s="57"/>
    </row>
    <row r="73" spans="1:28" ht="56" hidden="1" x14ac:dyDescent="0.25">
      <c r="A73" s="125"/>
      <c r="B73" s="388" t="s">
        <v>918</v>
      </c>
      <c r="C73" s="388" t="s">
        <v>758</v>
      </c>
      <c r="D73" s="141" t="s">
        <v>919</v>
      </c>
      <c r="E73" s="141" t="s">
        <v>913</v>
      </c>
      <c r="F73" s="141" t="s">
        <v>113</v>
      </c>
      <c r="G73" s="388" t="s">
        <v>902</v>
      </c>
      <c r="H73" s="350"/>
      <c r="I73" s="207"/>
      <c r="J73" s="207"/>
      <c r="K73" s="207"/>
      <c r="L73" s="120" t="s">
        <v>762</v>
      </c>
      <c r="M73" s="351"/>
      <c r="N73" s="116"/>
      <c r="O73" s="116"/>
      <c r="P73" s="116"/>
      <c r="Q73" s="116"/>
      <c r="R73" s="352" t="s">
        <v>996</v>
      </c>
      <c r="S73" s="351"/>
      <c r="T73" s="351"/>
      <c r="U73" s="351"/>
      <c r="V73" s="351"/>
      <c r="W73" s="354" t="s">
        <v>764</v>
      </c>
      <c r="X73" s="355"/>
      <c r="Y73" s="389"/>
      <c r="Z73" s="389"/>
      <c r="AA73" s="390"/>
      <c r="AB73" s="385"/>
    </row>
    <row r="74" spans="1:28" s="52" customFormat="1" ht="23" hidden="1" customHeight="1" x14ac:dyDescent="0.3">
      <c r="A74" s="48"/>
      <c r="B74" s="519" t="s">
        <v>142</v>
      </c>
      <c r="C74" s="520"/>
      <c r="D74" s="520"/>
      <c r="E74" s="520"/>
      <c r="F74" s="520"/>
      <c r="G74" s="520"/>
      <c r="H74" s="520"/>
      <c r="I74" s="520"/>
      <c r="J74" s="520"/>
      <c r="K74" s="520"/>
      <c r="L74" s="520"/>
      <c r="M74" s="520"/>
      <c r="N74" s="520"/>
      <c r="O74" s="520"/>
      <c r="P74" s="520"/>
      <c r="Q74" s="521"/>
      <c r="R74" s="521"/>
      <c r="S74" s="521"/>
      <c r="T74" s="521"/>
      <c r="U74" s="521"/>
      <c r="V74" s="521"/>
      <c r="W74" s="521"/>
      <c r="X74" s="521"/>
      <c r="Y74" s="521"/>
      <c r="Z74" s="521"/>
      <c r="AA74" s="521"/>
      <c r="AB74" s="522"/>
    </row>
    <row r="75" spans="1:28" ht="77.5" hidden="1" x14ac:dyDescent="0.25">
      <c r="B75" s="309" t="s">
        <v>920</v>
      </c>
      <c r="C75" s="213" t="s">
        <v>733</v>
      </c>
      <c r="D75" s="114" t="s">
        <v>734</v>
      </c>
      <c r="E75" s="114" t="s">
        <v>921</v>
      </c>
      <c r="F75" s="113" t="s">
        <v>736</v>
      </c>
      <c r="G75" s="213" t="s">
        <v>737</v>
      </c>
      <c r="H75" s="213" t="s">
        <v>738</v>
      </c>
      <c r="I75" s="113" t="s">
        <v>739</v>
      </c>
      <c r="J75" s="113" t="s">
        <v>740</v>
      </c>
      <c r="K75" s="113" t="s">
        <v>741</v>
      </c>
      <c r="L75" s="113" t="s">
        <v>742</v>
      </c>
      <c r="M75" s="213" t="s">
        <v>922</v>
      </c>
      <c r="N75" s="113" t="s">
        <v>753</v>
      </c>
      <c r="O75" s="113" t="s">
        <v>923</v>
      </c>
      <c r="P75" s="114" t="s">
        <v>756</v>
      </c>
      <c r="Q75" s="113" t="s">
        <v>924</v>
      </c>
      <c r="R75" s="211"/>
      <c r="S75" s="211"/>
      <c r="T75" s="211"/>
      <c r="U75" s="211"/>
      <c r="V75" s="211"/>
      <c r="W75" s="211"/>
      <c r="X75" s="210"/>
      <c r="Y75" s="210"/>
      <c r="Z75" s="209"/>
      <c r="AA75" s="209"/>
      <c r="AB75" s="58"/>
    </row>
    <row r="76" spans="1:28" ht="42.65" hidden="1" customHeight="1" x14ac:dyDescent="0.3">
      <c r="A76" s="393" t="s">
        <v>113</v>
      </c>
      <c r="B76" s="404" t="s">
        <v>142</v>
      </c>
      <c r="C76" s="404" t="s">
        <v>925</v>
      </c>
      <c r="D76" s="304" t="s">
        <v>926</v>
      </c>
      <c r="E76" s="118" t="s">
        <v>927</v>
      </c>
      <c r="F76" s="285" t="s">
        <v>928</v>
      </c>
      <c r="G76" s="127" t="s">
        <v>902</v>
      </c>
      <c r="H76" s="123" t="s">
        <v>770</v>
      </c>
      <c r="I76" s="297" t="s">
        <v>762</v>
      </c>
      <c r="J76" s="123" t="s">
        <v>771</v>
      </c>
      <c r="K76" s="123" t="s">
        <v>771</v>
      </c>
      <c r="L76" s="281" t="s">
        <v>771</v>
      </c>
      <c r="M76" s="127" t="s">
        <v>83</v>
      </c>
      <c r="N76" s="305" t="s">
        <v>929</v>
      </c>
      <c r="O76" s="127"/>
      <c r="P76" s="57"/>
      <c r="Q76" s="287"/>
      <c r="R76" s="214" t="s">
        <v>772</v>
      </c>
      <c r="S76" s="305" t="s">
        <v>929</v>
      </c>
      <c r="T76" s="396"/>
      <c r="U76" s="305" t="s">
        <v>929</v>
      </c>
      <c r="V76" s="116" t="s">
        <v>1091</v>
      </c>
      <c r="W76" s="396"/>
      <c r="X76" s="397"/>
      <c r="Y76" s="398"/>
      <c r="Z76" s="399"/>
      <c r="AA76" s="400"/>
      <c r="AB76" s="57"/>
    </row>
    <row r="77" spans="1:28" ht="42" hidden="1" x14ac:dyDescent="0.3">
      <c r="A77" s="393" t="s">
        <v>113</v>
      </c>
      <c r="B77" s="413" t="s">
        <v>356</v>
      </c>
      <c r="C77" s="414" t="s">
        <v>758</v>
      </c>
      <c r="D77" s="294" t="s">
        <v>931</v>
      </c>
      <c r="E77" s="101" t="s">
        <v>932</v>
      </c>
      <c r="F77" s="276" t="s">
        <v>933</v>
      </c>
      <c r="G77" s="127" t="s">
        <v>934</v>
      </c>
      <c r="H77" s="123" t="s">
        <v>770</v>
      </c>
      <c r="I77" s="297" t="s">
        <v>762</v>
      </c>
      <c r="J77" s="123" t="s">
        <v>771</v>
      </c>
      <c r="K77" s="123" t="s">
        <v>771</v>
      </c>
      <c r="L77" s="281" t="s">
        <v>771</v>
      </c>
      <c r="M77" s="116" t="s">
        <v>1101</v>
      </c>
      <c r="N77" s="306"/>
      <c r="O77" s="127"/>
      <c r="P77" s="57"/>
      <c r="Q77" s="287" t="s">
        <v>930</v>
      </c>
      <c r="R77" s="214" t="s">
        <v>772</v>
      </c>
      <c r="S77" s="116" t="s">
        <v>1101</v>
      </c>
      <c r="T77" s="116" t="s">
        <v>1101</v>
      </c>
      <c r="U77" s="116" t="s">
        <v>1101</v>
      </c>
      <c r="V77" s="116" t="s">
        <v>1092</v>
      </c>
      <c r="W77" s="57"/>
      <c r="X77" s="401"/>
      <c r="Y77" s="399"/>
      <c r="Z77" s="399"/>
      <c r="AA77" s="400"/>
      <c r="AB77" s="57"/>
    </row>
    <row r="78" spans="1:28" ht="42" hidden="1" x14ac:dyDescent="0.3">
      <c r="A78" s="393" t="s">
        <v>113</v>
      </c>
      <c r="B78" s="413" t="s">
        <v>355</v>
      </c>
      <c r="C78" s="415" t="s">
        <v>758</v>
      </c>
      <c r="D78" s="294" t="s">
        <v>935</v>
      </c>
      <c r="E78" s="115" t="s">
        <v>793</v>
      </c>
      <c r="F78" s="276" t="s">
        <v>933</v>
      </c>
      <c r="G78" s="127" t="s">
        <v>934</v>
      </c>
      <c r="H78" s="123" t="s">
        <v>770</v>
      </c>
      <c r="I78" s="297" t="s">
        <v>762</v>
      </c>
      <c r="J78" s="123" t="s">
        <v>771</v>
      </c>
      <c r="K78" s="123" t="s">
        <v>771</v>
      </c>
      <c r="L78" s="281" t="s">
        <v>771</v>
      </c>
      <c r="M78" s="116" t="s">
        <v>1101</v>
      </c>
      <c r="N78" s="306"/>
      <c r="O78" s="127"/>
      <c r="P78" s="57"/>
      <c r="Q78" s="287" t="s">
        <v>930</v>
      </c>
      <c r="R78" s="214" t="s">
        <v>772</v>
      </c>
      <c r="S78" s="116" t="s">
        <v>1101</v>
      </c>
      <c r="T78" s="116" t="s">
        <v>1101</v>
      </c>
      <c r="U78" s="116" t="s">
        <v>1101</v>
      </c>
      <c r="V78" s="116" t="s">
        <v>1092</v>
      </c>
      <c r="W78" s="57"/>
      <c r="X78" s="401"/>
      <c r="Y78" s="399"/>
      <c r="Z78" s="399"/>
      <c r="AA78" s="400"/>
      <c r="AB78" s="57"/>
    </row>
    <row r="79" spans="1:28" ht="43.25" hidden="1" customHeight="1" x14ac:dyDescent="0.3">
      <c r="A79" s="393" t="s">
        <v>113</v>
      </c>
      <c r="B79" s="404" t="s">
        <v>147</v>
      </c>
      <c r="C79" s="407" t="s">
        <v>758</v>
      </c>
      <c r="D79" s="304" t="s">
        <v>936</v>
      </c>
      <c r="E79" s="118" t="s">
        <v>937</v>
      </c>
      <c r="F79" s="286" t="s">
        <v>777</v>
      </c>
      <c r="G79" s="127" t="s">
        <v>902</v>
      </c>
      <c r="H79" s="123" t="s">
        <v>770</v>
      </c>
      <c r="I79" s="297" t="s">
        <v>762</v>
      </c>
      <c r="J79" s="123" t="s">
        <v>771</v>
      </c>
      <c r="K79" s="123" t="s">
        <v>771</v>
      </c>
      <c r="L79" s="281" t="s">
        <v>771</v>
      </c>
      <c r="M79" s="116" t="s">
        <v>1101</v>
      </c>
      <c r="N79" s="307"/>
      <c r="O79" s="128"/>
      <c r="P79" s="110"/>
      <c r="Q79" s="287" t="s">
        <v>930</v>
      </c>
      <c r="R79" s="214" t="s">
        <v>772</v>
      </c>
      <c r="S79" s="116" t="s">
        <v>1101</v>
      </c>
      <c r="T79" s="116" t="s">
        <v>1101</v>
      </c>
      <c r="U79" s="116" t="s">
        <v>1101</v>
      </c>
      <c r="V79" s="116" t="s">
        <v>1092</v>
      </c>
      <c r="W79" s="57"/>
      <c r="X79" s="402"/>
      <c r="Y79" s="394"/>
      <c r="Z79" s="399"/>
      <c r="AA79" s="400"/>
      <c r="AB79" s="57"/>
    </row>
    <row r="80" spans="1:28" ht="42.5" hidden="1" x14ac:dyDescent="0.3">
      <c r="A80" s="393" t="s">
        <v>113</v>
      </c>
      <c r="B80" s="404" t="s">
        <v>153</v>
      </c>
      <c r="C80" s="404" t="s">
        <v>758</v>
      </c>
      <c r="D80" s="304" t="s">
        <v>938</v>
      </c>
      <c r="E80" s="118" t="s">
        <v>939</v>
      </c>
      <c r="F80" s="285" t="s">
        <v>777</v>
      </c>
      <c r="G80" s="127" t="s">
        <v>902</v>
      </c>
      <c r="H80" s="123" t="s">
        <v>770</v>
      </c>
      <c r="I80" s="297" t="s">
        <v>762</v>
      </c>
      <c r="J80" s="123" t="s">
        <v>771</v>
      </c>
      <c r="K80" s="123" t="s">
        <v>771</v>
      </c>
      <c r="L80" s="281" t="s">
        <v>771</v>
      </c>
      <c r="M80" s="116" t="s">
        <v>1101</v>
      </c>
      <c r="N80" s="308" t="s">
        <v>940</v>
      </c>
      <c r="O80" s="127"/>
      <c r="P80" s="57"/>
      <c r="Q80" s="287" t="s">
        <v>930</v>
      </c>
      <c r="R80" s="214" t="s">
        <v>772</v>
      </c>
      <c r="S80" s="116" t="s">
        <v>1101</v>
      </c>
      <c r="T80" s="116" t="s">
        <v>1101</v>
      </c>
      <c r="U80" s="116" t="s">
        <v>1101</v>
      </c>
      <c r="V80" s="116" t="s">
        <v>1092</v>
      </c>
      <c r="W80" s="110"/>
      <c r="X80" s="112"/>
      <c r="Y80" s="394"/>
      <c r="Z80" s="399"/>
      <c r="AA80" s="400"/>
      <c r="AB80" s="57" t="s">
        <v>879</v>
      </c>
    </row>
    <row r="81" spans="1:28" x14ac:dyDescent="0.25">
      <c r="A81" s="394"/>
      <c r="B81" s="395"/>
      <c r="C81" s="394"/>
      <c r="G81" s="394"/>
      <c r="H81" s="423"/>
      <c r="M81" s="423"/>
      <c r="R81" s="419"/>
      <c r="S81" s="419"/>
      <c r="T81" s="419"/>
      <c r="U81" s="57"/>
      <c r="V81" s="116"/>
      <c r="W81" s="57"/>
      <c r="X81" s="394"/>
      <c r="Y81" s="394"/>
      <c r="Z81" s="394"/>
      <c r="AA81" s="394"/>
      <c r="AB81" s="394"/>
    </row>
  </sheetData>
  <autoFilter ref="A9:AC80" xr:uid="{5D22F4F5-06CE-486E-B62B-A7DFC155F213}">
    <filterColumn colId="7">
      <customFilters>
        <customFilter operator="notEqual" val=" "/>
      </customFilters>
    </filterColumn>
    <filterColumn colId="17">
      <filters>
        <filter val="Update"/>
      </filters>
    </filterColumn>
  </autoFilter>
  <mergeCells count="6">
    <mergeCell ref="B74:AB74"/>
    <mergeCell ref="A7:AB7"/>
    <mergeCell ref="A8:G8"/>
    <mergeCell ref="H8:L8"/>
    <mergeCell ref="M8:Q8"/>
    <mergeCell ref="R8:W8"/>
  </mergeCells>
  <dataValidations count="3">
    <dataValidation type="list" allowBlank="1" showInputMessage="1" showErrorMessage="1" sqref="D75:D76" xr:uid="{00000000-0002-0000-0600-000000000000}">
      <formula1>"Draft, In-Review, Released"</formula1>
    </dataValidation>
    <dataValidation type="list" allowBlank="1" showInputMessage="1" showErrorMessage="1" sqref="W10:W74" xr:uid="{B311E39E-1F71-47F1-8497-9E7D13E12B44}">
      <formula1>"Low, Medium, High, -"</formula1>
    </dataValidation>
    <dataValidation type="list" allowBlank="1" showInputMessage="1" showErrorMessage="1" sqref="S12:U12 R76:R80 M12 M20 M39 M72 S72:V72 S39:U39 S20:U20 R30:R74 R10:R27" xr:uid="{7980823C-DB5B-4C08-9F46-74EA914BF2D7}">
      <formula1>"New, Update, CarryOver, N.A"</formula1>
    </dataValidation>
  </dataValidations>
  <hyperlinks>
    <hyperlink ref="B17" location="Components!C2" display="SW Safety Analysis (eg SW FMEA) for  Explicit safety projects. Note that for Implicit safety, the FMEA is required at EAR in A version; no initial version." xr:uid="{0E059141-57DA-49FD-84C8-F143D94ECDE7}"/>
    <hyperlink ref="B30" location="Components!H2" display="SW Test Reports" xr:uid="{DB41D1AA-6953-476D-9CD8-2AB718484A6A}"/>
    <hyperlink ref="B47" location="Components!J2" display="Static Analysis - MISRA Reports" xr:uid="{C4C7EFE0-37F0-4531-8C86-3BBE404EF96E}"/>
    <hyperlink ref="B48" location="Components!K2" display="SW Code Coverage Report" xr:uid="{D42F4E5C-16AE-41CF-84D6-0ACCC7CA96E5}"/>
    <hyperlink ref="B58" location="Components!L2" display="Static Analysis - HIS Metrics report" xr:uid="{6A99688C-26B5-47A7-85EC-59966F50E9A3}"/>
    <hyperlink ref="B60" location="Components!N2" display="Code Size and Stack Usage Report (if applicable)" xr:uid="{E602B7A0-5918-4147-92EE-2C48359EA6C7}"/>
    <hyperlink ref="B61" location="Components!O2" display="RAM Size Report " xr:uid="{6DED077B-5468-4DF2-AD1A-772274D8DCA2}"/>
    <hyperlink ref="B59" location="Components!M2" display="Profiling and Size Reports" xr:uid="{59AB2CF1-9ABA-48DE-A54E-AA8722D99414}"/>
    <hyperlink ref="B62" location="Components!P2" display="Compiler Warning Report" xr:uid="{03D46CE7-5A84-4B11-B57B-7AEF80D43D22}"/>
    <hyperlink ref="B18" location="Components!D2" display="SW Requirements Specifications (RS) at all SW levels: high level and detailed RS  (including security scope)" xr:uid="{6333187F-93F7-412C-8808-945B469867DC}"/>
    <hyperlink ref="B21" location="Components!E2" display="SW Detailed Design  (including security scope)" xr:uid="{96C427F7-DC63-4E94-90D3-6CE9F1819FB1}"/>
    <hyperlink ref="B27" location="Components!F2" display="SW Traceability Matrix (full: Req-design-code-tests)" xr:uid="{3D93E940-E169-40EC-9951-260803E425F2}"/>
    <hyperlink ref="B29" location="Components!G2" display="SW Test Specification (at all test levels)" xr:uid="{990313A1-2D46-4490-94A7-ECA65A9016AE}"/>
    <hyperlink ref="B40" location="Components!I2" display="Components!I2" xr:uid="{30DB82DC-D2C6-4CB3-A236-4FE8DF95C65E}"/>
    <hyperlink ref="N76" r:id="rId1" xr:uid="{665778C1-2E28-4B5B-8E27-54E36188236F}"/>
    <hyperlink ref="N80" r:id="rId2" xr:uid="{19ABEC28-426F-4F09-BFF4-57CE09A44F13}"/>
    <hyperlink ref="X13" r:id="rId3" xr:uid="{138E3D20-95BB-4FE8-A621-B463DA63BE21}"/>
    <hyperlink ref="U14" r:id="rId4" xr:uid="{1BB4C907-44E0-43AF-AFD6-36B3776C62EA}"/>
    <hyperlink ref="X14" r:id="rId5" xr:uid="{676318B7-C5E4-43C9-A6D9-AC16C099DAA8}"/>
    <hyperlink ref="U16" r:id="rId6" xr:uid="{907EAF44-F5AE-428A-B92E-CC5964178F6C}"/>
    <hyperlink ref="X16" r:id="rId7" xr:uid="{34184D13-37D4-49E8-92E9-6C0BABDCFF4F}"/>
    <hyperlink ref="U17" location="Components!A1" display="See Components sheet" xr:uid="{6DCD5A84-7FEF-4F66-8000-7A4913CF0B99}"/>
    <hyperlink ref="X17" location="Components!A1" display="See Components sheet" xr:uid="{25558047-EFBA-447B-8A6E-4EBCE1C24AD2}"/>
    <hyperlink ref="U21" location="Components!A1" display="See Components sheet" xr:uid="{541F56E8-BB10-4C8D-A648-85A959827789}"/>
    <hyperlink ref="X21" location="Components!A1" display="See Components sheet" xr:uid="{34C29AEB-70A5-4856-AEDA-3F1715377A5D}"/>
    <hyperlink ref="X23" r:id="rId8" xr:uid="{9E40046D-AF2D-41FB-9C3C-9AD666FC12A8}"/>
    <hyperlink ref="U25" location="Components!A1" display="See Components sheet" xr:uid="{25E29FD9-CA6D-4FC8-B1C8-AC00591D085A}"/>
    <hyperlink ref="X25" location="Components!A1" display="See Components sheet" xr:uid="{7F13DA26-4510-4D14-97CB-415144A4A00F}"/>
    <hyperlink ref="U27" location="Components!A1" display="See Components sheet" xr:uid="{BE03C372-92B9-4286-9011-0FF459BD4A2C}"/>
    <hyperlink ref="X27" location="Components!A1" display="See Components sheet" xr:uid="{DEEEF91A-E8C0-46C7-BE7B-CBF81DE3C143}"/>
    <hyperlink ref="U30" location="Components!A1" display="See Components sheet" xr:uid="{6FDB784A-602F-4797-9A3E-7AEB220EE5CD}"/>
    <hyperlink ref="X30" location="Components!A1" display="See Components sheet" xr:uid="{C5D292E5-5C7A-43BA-89E7-DBB6488F1E43}"/>
    <hyperlink ref="U32" location="Components!A1" display="See Components sheet" xr:uid="{44A62AE3-EC7A-4C14-A266-5D8C93F484F9}"/>
    <hyperlink ref="X32" location="Components!A1" display="See Components sheet" xr:uid="{6B6B9B8C-1B0D-43AC-8648-CDD4774B43A6}"/>
    <hyperlink ref="U33" r:id="rId9" xr:uid="{D84B8E96-497D-4F1D-A7D3-1BC926A17B11}"/>
    <hyperlink ref="X33" r:id="rId10" xr:uid="{F68FC412-54E6-4EE3-8B12-F30B437F7DB4}"/>
    <hyperlink ref="U34" location="Components!A1" display="See Components sheet" xr:uid="{AB0D95CB-5178-4F2E-83C2-3CC1755FD496}"/>
    <hyperlink ref="X34" location="Components!A1" display="See Components sheet" xr:uid="{41594A16-3232-4B31-A2C4-E1C0D020ED11}"/>
    <hyperlink ref="U37" location="Components!A1" display="See Components sheet" xr:uid="{3EA5C2B4-2707-44C4-8C41-470D4752C6E0}"/>
    <hyperlink ref="X37" location="Components!A1" display="See Components sheet" xr:uid="{7360DA38-97B1-4D3E-A639-20871A2F08CC}"/>
    <hyperlink ref="U38" r:id="rId11" xr:uid="{1E5E8849-733C-4B6E-A5C5-D7BA21F14C35}"/>
    <hyperlink ref="X38" r:id="rId12" xr:uid="{B8391DC5-FA0C-461D-BDE5-3C7ADF83B824}"/>
    <hyperlink ref="U40" r:id="rId13" xr:uid="{BBB973DD-6367-4EB9-B070-2B8C342429AF}"/>
    <hyperlink ref="X40" r:id="rId14" xr:uid="{D08268D6-0DC7-4DC5-841B-D38492F756FA}"/>
    <hyperlink ref="U41" r:id="rId15" xr:uid="{C42AD639-AD2C-49DC-9A3F-0B43D2B842C6}"/>
    <hyperlink ref="X41" r:id="rId16" xr:uid="{05E27CAF-BEB7-418C-B571-C4AD90B75627}"/>
    <hyperlink ref="X45" r:id="rId17" xr:uid="{578C68F7-4F31-47DA-9DFB-E5C2BF9D2B6A}"/>
    <hyperlink ref="U46" r:id="rId18" xr:uid="{E3AD5DEF-0CEB-415C-9A22-42A939366381}"/>
    <hyperlink ref="X46" r:id="rId19" xr:uid="{9623EED9-A0B6-4300-B944-9B1228858777}"/>
    <hyperlink ref="U47" location="Components!A1" display="See Components sheet" xr:uid="{8DC87D01-1A6A-4ABE-BFB7-A326C02432A4}"/>
    <hyperlink ref="X47" location="Components!A1" display="See Components sheet" xr:uid="{F4B011EB-D16E-4DAB-8FD3-99EA3E17087D}"/>
    <hyperlink ref="U57" location="Components!A1" display="See Components sheet" xr:uid="{4DBF798B-C6FB-4141-ACBA-69AAC7C0125D}"/>
    <hyperlink ref="X57" location="Components!A1" display="See Components sheet" xr:uid="{E8FEFE24-3AB8-4A01-82C8-60CD69D3482B}"/>
    <hyperlink ref="U58" location="Components!A1" display="See Components sheet" xr:uid="{A8869B88-4A32-45EB-AE6E-CBB7EEA793C2}"/>
    <hyperlink ref="X58" location="Components!A1" display="See Components sheet" xr:uid="{8474CE54-0AE0-4765-B2C2-505ECB5C179D}"/>
    <hyperlink ref="U63" r:id="rId20" xr:uid="{625DE5AF-EA23-4BD8-B0D1-15F35AED55D8}"/>
    <hyperlink ref="X63" r:id="rId21" xr:uid="{D0AC8CD2-0E4F-4337-B169-3F4A6EA4ED44}"/>
    <hyperlink ref="U15" r:id="rId22" xr:uid="{509A6138-2B13-4A53-8B87-2CA078375A44}"/>
    <hyperlink ref="S15" r:id="rId23" xr:uid="{4FC2B6C0-ED4A-4C98-A553-1A5A05AEB3BD}"/>
    <hyperlink ref="X15" r:id="rId24" xr:uid="{510CA9AE-47AE-4567-AF59-A61A65A96A8C}"/>
    <hyperlink ref="S49" r:id="rId25" xr:uid="{5CFE2C90-5879-4954-9070-FE19A57D7EEF}"/>
    <hyperlink ref="U11" r:id="rId26" xr:uid="{69BE19BE-F0F5-455C-846E-8A0FB589C174}"/>
    <hyperlink ref="U23" r:id="rId27" xr:uid="{F4708789-0899-4F6A-ADB2-2C519369BD67}"/>
    <hyperlink ref="S76" r:id="rId28" xr:uid="{F35EB783-8547-410B-A8BB-65ABE23EEEC1}"/>
    <hyperlink ref="U76" r:id="rId29" xr:uid="{C6A0F47E-871C-4958-8DAB-8E33B2945D33}"/>
    <hyperlink ref="U13" r:id="rId30" xr:uid="{83BA884F-E228-4A24-BB1B-77182854C84B}"/>
    <hyperlink ref="U22" r:id="rId31" xr:uid="{9EA17E0E-1B64-41B5-8A95-39A95D1F6B38}"/>
    <hyperlink ref="U44" r:id="rId32" xr:uid="{96A84A98-DD8F-4626-A2A5-34C3051F721C}"/>
    <hyperlink ref="U10" r:id="rId33" location="action=com.ibm.rdm.web.pages.showArtifact&amp;artifactURI=https%3A%2F%2Fdoorsng.nxp.com%2Frm%2Fresources%2F_d383e39a562a4815b0051ce989cd65b5&amp;componentURI=https%3A%2F%2Fdoorsng.nxp.com%2Frm%2Frm-projects%2F_r8ZsYRVKEeiLn-6Dce4MoA%2Fcomponents%2F_entLQI3hEeqaeff_JhQ61g&amp;oslc.configuration=https%3A%2F%2Fdoorsng.nxp.com%2Fgc%2Fconfiguration%2F425" display="https://doorsng.nxp.com/rm/web#action=com.ibm.rdm.web.pages.showArtifact&amp;artifactURI=https%3A%2F%2Fdoorsng.nxp.com%2Frm%2Fresources%2F_d383e39a562a4815b0051ce989cd65b5&amp;componentURI=https%3A%2F%2Fdoorsng.nxp.com%2Frm%2Frm-projects%2F_r8ZsYRVKEeiLn-6Dce4MoA%2Fcomponents%2F_entLQI3hEeqaeff_JhQ61g&amp;oslc.configuration=https%3A%2F%2Fdoorsng.nxp.com%2Fgc%2Fconfiguration%2F425" xr:uid="{A27DDC64-815F-42DB-AD50-BA940D678CA0}"/>
    <hyperlink ref="U43" r:id="rId34" xr:uid="{1F76AC0D-2539-4278-B735-D8E6BC4A7D19}"/>
    <hyperlink ref="U24" r:id="rId35" xr:uid="{34925EF4-29DB-41CC-B04C-541A84DAD2A8}"/>
    <hyperlink ref="U26" r:id="rId36" xr:uid="{04ECA12D-9BFD-4E92-8D9D-422F53E303CA}"/>
    <hyperlink ref="U18" r:id="rId37" location="action=com.ibm.rdm.web.pages.showArtifact&amp;artifactURI=https%3A%2F%2Fdoorsng.nxp.com%2Frm%2Fresources%2F_d383e39a562a4815b0051ce989cd65b5&amp;componentURI=https%3A%2F%2Fdoorsng.nxp.com%2Frm%2Frm-projects%2F_r8ZsYRVKEeiLn-6Dce4MoA%2Fcomponents%2F_entLQI3hEeqaeff_JhQ61g&amp;oslc.configuration=https%3A%2F%2Fdoorsng.nxp.com%2Fgc%2Fconfiguration%2F425" display="https://doorsng.nxp.com/rm/web#action=com.ibm.rdm.web.pages.showArtifact&amp;artifactURI=https%3A%2F%2Fdoorsng.nxp.com%2Frm%2Fresources%2F_d383e39a562a4815b0051ce989cd65b5&amp;componentURI=https%3A%2F%2Fdoorsng.nxp.com%2Frm%2Frm-projects%2F_r8ZsYRVKEeiLn-6Dce4MoA%2Fcomponents%2F_entLQI3hEeqaeff_JhQ61g&amp;oslc.configuration=https%3A%2F%2Fdoorsng.nxp.com%2Fgc%2Fconfiguration%2F425" xr:uid="{D3F307FF-84FC-42D0-8866-0211C19D42CE}"/>
    <hyperlink ref="U19" r:id="rId38" xr:uid="{F2ABA588-A7FF-4841-97AF-76A015571573}"/>
  </hyperlinks>
  <pageMargins left="0.7" right="0.7" top="0.75" bottom="0.75" header="0.3" footer="0.3"/>
  <pageSetup orientation="portrait" r:id="rId39"/>
  <legacyDrawing r:id="rId40"/>
  <extLst>
    <ext xmlns:x14="http://schemas.microsoft.com/office/spreadsheetml/2009/9/main" uri="{78C0D931-6437-407d-A8EE-F0AAD7539E65}">
      <x14:conditionalFormattings>
        <x14:conditionalFormatting xmlns:xm="http://schemas.microsoft.com/office/excel/2006/main">
          <x14:cfRule type="containsText" priority="11" operator="containsText" id="{3C84B7CC-E7F5-4CEF-8D98-EBA32DFC97C7}">
            <xm:f>NOT(ISERROR(SEARCH("N.A",R10)))</xm:f>
            <xm:f>"N.A"</xm:f>
            <x14:dxf>
              <fill>
                <patternFill>
                  <bgColor theme="0" tint="-0.14996795556505021"/>
                </patternFill>
              </fill>
            </x14:dxf>
          </x14:cfRule>
          <xm:sqref>R10:R17 R30:R74 R19:R27</xm:sqref>
        </x14:conditionalFormatting>
        <x14:conditionalFormatting xmlns:xm="http://schemas.microsoft.com/office/excel/2006/main">
          <x14:cfRule type="containsText" priority="10" operator="containsText" id="{9964F098-D203-49B4-81B1-E5CCF8BB7C29}">
            <xm:f>NOT(ISERROR(SEARCH("N.A",R76)))</xm:f>
            <xm:f>"N.A"</xm:f>
            <x14:dxf>
              <fill>
                <patternFill>
                  <bgColor theme="0" tint="-0.14996795556505021"/>
                </patternFill>
              </fill>
            </x14:dxf>
          </x14:cfRule>
          <xm:sqref>R76:R80</xm:sqref>
        </x14:conditionalFormatting>
        <x14:conditionalFormatting xmlns:xm="http://schemas.microsoft.com/office/excel/2006/main">
          <x14:cfRule type="containsText" priority="9" operator="containsText" id="{D14F3F54-00CD-4A22-8D69-CFF4996A08D9}">
            <xm:f>NOT(ISERROR(SEARCH("N.A",M12)))</xm:f>
            <xm:f>"N.A"</xm:f>
            <x14:dxf>
              <fill>
                <patternFill>
                  <bgColor theme="0" tint="-0.14996795556505021"/>
                </patternFill>
              </fill>
            </x14:dxf>
          </x14:cfRule>
          <xm:sqref>M12</xm:sqref>
        </x14:conditionalFormatting>
        <x14:conditionalFormatting xmlns:xm="http://schemas.microsoft.com/office/excel/2006/main">
          <x14:cfRule type="containsText" priority="8" operator="containsText" id="{8CEE229E-2473-42F3-BEF8-C697933B55D5}">
            <xm:f>NOT(ISERROR(SEARCH("N.A",M20)))</xm:f>
            <xm:f>"N.A"</xm:f>
            <x14:dxf>
              <fill>
                <patternFill>
                  <bgColor theme="0" tint="-0.14996795556505021"/>
                </patternFill>
              </fill>
            </x14:dxf>
          </x14:cfRule>
          <xm:sqref>M20</xm:sqref>
        </x14:conditionalFormatting>
        <x14:conditionalFormatting xmlns:xm="http://schemas.microsoft.com/office/excel/2006/main">
          <x14:cfRule type="containsText" priority="7" operator="containsText" id="{33F1309D-E1CD-46CC-A424-074FEF08C134}">
            <xm:f>NOT(ISERROR(SEARCH("N.A",M39)))</xm:f>
            <xm:f>"N.A"</xm:f>
            <x14:dxf>
              <fill>
                <patternFill>
                  <bgColor theme="0" tint="-0.14996795556505021"/>
                </patternFill>
              </fill>
            </x14:dxf>
          </x14:cfRule>
          <xm:sqref>M39</xm:sqref>
        </x14:conditionalFormatting>
        <x14:conditionalFormatting xmlns:xm="http://schemas.microsoft.com/office/excel/2006/main">
          <x14:cfRule type="containsText" priority="6" operator="containsText" id="{A7EB4D07-04F6-40DC-9518-4BC56D85B579}">
            <xm:f>NOT(ISERROR(SEARCH("N.A",M72)))</xm:f>
            <xm:f>"N.A"</xm:f>
            <x14:dxf>
              <fill>
                <patternFill>
                  <bgColor theme="0" tint="-0.14996795556505021"/>
                </patternFill>
              </fill>
            </x14:dxf>
          </x14:cfRule>
          <xm:sqref>M72</xm:sqref>
        </x14:conditionalFormatting>
        <x14:conditionalFormatting xmlns:xm="http://schemas.microsoft.com/office/excel/2006/main">
          <x14:cfRule type="containsText" priority="5" operator="containsText" id="{1A7ED25C-FDB9-45A8-AED3-9573AE58CC1C}">
            <xm:f>NOT(ISERROR(SEARCH("N.A",S72)))</xm:f>
            <xm:f>"N.A"</xm:f>
            <x14:dxf>
              <fill>
                <patternFill>
                  <bgColor theme="0" tint="-0.14996795556505021"/>
                </patternFill>
              </fill>
            </x14:dxf>
          </x14:cfRule>
          <xm:sqref>S72:V72</xm:sqref>
        </x14:conditionalFormatting>
        <x14:conditionalFormatting xmlns:xm="http://schemas.microsoft.com/office/excel/2006/main">
          <x14:cfRule type="containsText" priority="4" operator="containsText" id="{412549FA-9463-4B95-ABE7-11D4E521E9D3}">
            <xm:f>NOT(ISERROR(SEARCH("N.A",S39)))</xm:f>
            <xm:f>"N.A"</xm:f>
            <x14:dxf>
              <fill>
                <patternFill>
                  <bgColor theme="0" tint="-0.14996795556505021"/>
                </patternFill>
              </fill>
            </x14:dxf>
          </x14:cfRule>
          <xm:sqref>S39:U39</xm:sqref>
        </x14:conditionalFormatting>
        <x14:conditionalFormatting xmlns:xm="http://schemas.microsoft.com/office/excel/2006/main">
          <x14:cfRule type="containsText" priority="3" operator="containsText" id="{FF8B7F62-61E0-42C7-A285-8D9ECEC5B4CF}">
            <xm:f>NOT(ISERROR(SEARCH("N.A",S20)))</xm:f>
            <xm:f>"N.A"</xm:f>
            <x14:dxf>
              <fill>
                <patternFill>
                  <bgColor theme="0" tint="-0.14996795556505021"/>
                </patternFill>
              </fill>
            </x14:dxf>
          </x14:cfRule>
          <xm:sqref>S20:U20</xm:sqref>
        </x14:conditionalFormatting>
        <x14:conditionalFormatting xmlns:xm="http://schemas.microsoft.com/office/excel/2006/main">
          <x14:cfRule type="containsText" priority="2" operator="containsText" id="{9C12049A-4AB9-4166-AE16-F5FF7EC0FD35}">
            <xm:f>NOT(ISERROR(SEARCH("N.A",S12)))</xm:f>
            <xm:f>"N.A"</xm:f>
            <x14:dxf>
              <fill>
                <patternFill>
                  <bgColor theme="0" tint="-0.14996795556505021"/>
                </patternFill>
              </fill>
            </x14:dxf>
          </x14:cfRule>
          <xm:sqref>S12:U12</xm:sqref>
        </x14:conditionalFormatting>
        <x14:conditionalFormatting xmlns:xm="http://schemas.microsoft.com/office/excel/2006/main">
          <x14:cfRule type="containsText" priority="1" operator="containsText" id="{DF3B9461-B016-4D70-8243-22EDD81A6683}">
            <xm:f>NOT(ISERROR(SEARCH("N.A",R18)))</xm:f>
            <xm:f>"N.A"</xm:f>
            <x14:dxf>
              <fill>
                <patternFill>
                  <bgColor theme="0" tint="-0.14996795556505021"/>
                </patternFill>
              </fill>
            </x14:dxf>
          </x14:cfRule>
          <xm:sqref>R18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96105-17C2-44CD-9A93-2887DCCD9149}">
  <dimension ref="A1:N13"/>
  <sheetViews>
    <sheetView workbookViewId="0">
      <selection activeCell="B3" sqref="A3:XFD6"/>
    </sheetView>
  </sheetViews>
  <sheetFormatPr defaultColWidth="8.90625" defaultRowHeight="12.5" x14ac:dyDescent="0.25"/>
  <cols>
    <col min="1" max="1" width="11.36328125" style="145" customWidth="1"/>
    <col min="2" max="2" width="15.6328125" style="145" customWidth="1"/>
    <col min="3" max="3" width="15.6328125" style="145" bestFit="1" customWidth="1"/>
    <col min="4" max="4" width="16.36328125" style="145" customWidth="1"/>
    <col min="5" max="6" width="11.36328125" style="145" customWidth="1"/>
    <col min="7" max="7" width="12.54296875" style="145" customWidth="1"/>
    <col min="8" max="8" width="10.36328125" style="145" customWidth="1"/>
    <col min="9" max="9" width="9.81640625" style="145" bestFit="1" customWidth="1"/>
    <col min="10" max="12" width="9.81640625" style="145" customWidth="1"/>
    <col min="13" max="13" width="11.90625" style="145" bestFit="1" customWidth="1"/>
    <col min="14" max="14" width="13.6328125" style="145" bestFit="1" customWidth="1"/>
    <col min="15" max="16384" width="8.90625" style="145"/>
  </cols>
  <sheetData>
    <row r="1" spans="1:14" ht="15.5" x14ac:dyDescent="0.25">
      <c r="A1" s="534" t="s">
        <v>941</v>
      </c>
      <c r="B1" s="535"/>
      <c r="C1" s="538" t="s">
        <v>942</v>
      </c>
      <c r="D1" s="539"/>
      <c r="E1" s="539"/>
      <c r="F1" s="539"/>
      <c r="G1" s="539"/>
      <c r="H1" s="539"/>
      <c r="I1" s="539"/>
      <c r="J1" s="539"/>
      <c r="K1" s="539"/>
      <c r="L1" s="539"/>
      <c r="M1" s="539"/>
      <c r="N1" s="539"/>
    </row>
    <row r="2" spans="1:14" ht="111.5" customHeight="1" x14ac:dyDescent="0.25">
      <c r="A2" s="536"/>
      <c r="B2" s="537"/>
      <c r="C2" s="149" t="s">
        <v>392</v>
      </c>
      <c r="D2" s="149" t="s">
        <v>363</v>
      </c>
      <c r="E2" s="149" t="s">
        <v>406</v>
      </c>
      <c r="F2" s="149" t="s">
        <v>806</v>
      </c>
      <c r="G2" s="149" t="s">
        <v>374</v>
      </c>
      <c r="H2" s="149" t="s">
        <v>431</v>
      </c>
      <c r="I2" s="149" t="s">
        <v>372</v>
      </c>
      <c r="J2" s="149" t="s">
        <v>1042</v>
      </c>
      <c r="K2" s="149" t="s">
        <v>827</v>
      </c>
      <c r="L2" s="149" t="s">
        <v>1049</v>
      </c>
      <c r="M2" s="149" t="s">
        <v>578</v>
      </c>
      <c r="N2" s="149" t="s">
        <v>378</v>
      </c>
    </row>
    <row r="3" spans="1:14" ht="9" customHeight="1" x14ac:dyDescent="0.25">
      <c r="A3" s="540"/>
      <c r="B3" s="151"/>
      <c r="C3" s="71"/>
      <c r="D3" s="71"/>
      <c r="E3" s="146"/>
      <c r="F3" s="234"/>
      <c r="G3" s="243"/>
      <c r="H3" s="150"/>
      <c r="I3" s="243"/>
      <c r="J3" s="243"/>
      <c r="K3" s="243"/>
      <c r="L3" s="243"/>
      <c r="M3" s="243"/>
      <c r="N3" s="243"/>
    </row>
    <row r="4" spans="1:14" ht="9" customHeight="1" x14ac:dyDescent="0.25">
      <c r="A4" s="541"/>
      <c r="B4" s="152"/>
      <c r="C4" s="146"/>
      <c r="D4" s="146"/>
      <c r="E4" s="129"/>
      <c r="F4" s="146"/>
      <c r="G4" s="146"/>
      <c r="H4" s="146"/>
      <c r="I4" s="146"/>
      <c r="J4" s="146"/>
      <c r="K4" s="146"/>
      <c r="L4" s="146"/>
      <c r="M4" s="146"/>
      <c r="N4" s="146"/>
    </row>
    <row r="5" spans="1:14" ht="9" customHeight="1" x14ac:dyDescent="0.25">
      <c r="A5" s="541"/>
      <c r="B5" s="152"/>
      <c r="C5" s="236"/>
      <c r="D5" s="235"/>
      <c r="E5" s="129"/>
      <c r="F5" s="129"/>
      <c r="G5" s="129"/>
      <c r="H5" s="129"/>
      <c r="I5" s="129"/>
      <c r="J5" s="129"/>
      <c r="K5" s="129"/>
      <c r="L5" s="129"/>
      <c r="M5" s="129"/>
      <c r="N5" s="129"/>
    </row>
    <row r="6" spans="1:14" ht="9" customHeight="1" x14ac:dyDescent="0.25">
      <c r="A6" s="542"/>
      <c r="B6" s="152"/>
      <c r="C6" s="150"/>
      <c r="D6" s="235"/>
      <c r="E6" s="238"/>
      <c r="F6" s="150"/>
      <c r="G6" s="238"/>
      <c r="H6" s="238"/>
      <c r="I6" s="238"/>
      <c r="J6" s="238"/>
      <c r="K6" s="238"/>
      <c r="L6" s="238"/>
      <c r="M6" s="238"/>
      <c r="N6" s="238"/>
    </row>
    <row r="7" spans="1:14" ht="9" customHeight="1" x14ac:dyDescent="0.25">
      <c r="A7" s="540"/>
      <c r="B7" s="151"/>
      <c r="C7" s="129"/>
      <c r="D7" s="129"/>
      <c r="E7" s="129"/>
      <c r="F7" s="234"/>
      <c r="G7" s="243"/>
      <c r="H7" s="150"/>
      <c r="I7" s="243"/>
      <c r="J7" s="243"/>
      <c r="K7" s="243"/>
      <c r="L7" s="243"/>
      <c r="M7" s="243"/>
      <c r="N7" s="243"/>
    </row>
    <row r="8" spans="1:14" ht="9" customHeight="1" x14ac:dyDescent="0.25">
      <c r="A8" s="541"/>
      <c r="B8" s="152"/>
      <c r="C8" s="146"/>
      <c r="D8" s="146"/>
      <c r="E8" s="146"/>
      <c r="F8" s="146"/>
      <c r="G8" s="146"/>
      <c r="H8" s="146"/>
      <c r="I8" s="146"/>
      <c r="J8" s="146"/>
      <c r="K8" s="146"/>
      <c r="L8" s="146"/>
      <c r="M8" s="146"/>
      <c r="N8" s="146"/>
    </row>
    <row r="9" spans="1:14" ht="9" customHeight="1" x14ac:dyDescent="0.25">
      <c r="A9" s="541"/>
      <c r="B9" s="152"/>
      <c r="C9" s="129"/>
      <c r="D9" s="237"/>
      <c r="E9" s="129"/>
      <c r="F9" s="129"/>
      <c r="G9" s="129"/>
      <c r="H9" s="243"/>
      <c r="I9" s="129"/>
      <c r="J9" s="129"/>
      <c r="K9" s="129"/>
      <c r="L9" s="129"/>
      <c r="M9" s="129"/>
      <c r="N9" s="129"/>
    </row>
    <row r="10" spans="1:14" ht="9" customHeight="1" x14ac:dyDescent="0.25">
      <c r="A10" s="542"/>
      <c r="B10" s="152"/>
      <c r="C10" s="150"/>
      <c r="D10" s="237"/>
      <c r="E10" s="238"/>
      <c r="F10" s="241"/>
      <c r="G10" s="238"/>
      <c r="H10" s="238"/>
      <c r="I10" s="238"/>
      <c r="J10" s="238"/>
      <c r="K10" s="238"/>
      <c r="L10" s="238"/>
      <c r="M10" s="238"/>
      <c r="N10" s="238"/>
    </row>
    <row r="11" spans="1:14" ht="9" customHeight="1" x14ac:dyDescent="0.25">
      <c r="B11" s="147"/>
      <c r="C11" s="148"/>
    </row>
    <row r="13" spans="1:14" x14ac:dyDescent="0.25">
      <c r="C13" s="234"/>
    </row>
  </sheetData>
  <mergeCells count="4">
    <mergeCell ref="A1:B2"/>
    <mergeCell ref="C1:N1"/>
    <mergeCell ref="A3:A6"/>
    <mergeCell ref="A7:A10"/>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B35"/>
  <sheetViews>
    <sheetView topLeftCell="A13" zoomScale="85" zoomScaleNormal="85" workbookViewId="0">
      <selection activeCell="B27" sqref="B27"/>
    </sheetView>
  </sheetViews>
  <sheetFormatPr defaultRowHeight="14.5" x14ac:dyDescent="0.35"/>
  <cols>
    <col min="2" max="2" width="122.08984375" style="36" customWidth="1"/>
  </cols>
  <sheetData>
    <row r="2" spans="2:2" x14ac:dyDescent="0.35">
      <c r="B2" s="104" t="s">
        <v>944</v>
      </c>
    </row>
    <row r="3" spans="2:2" x14ac:dyDescent="0.35">
      <c r="B3" s="105"/>
    </row>
    <row r="4" spans="2:2" ht="17.5" x14ac:dyDescent="0.35">
      <c r="B4" s="106" t="s">
        <v>945</v>
      </c>
    </row>
    <row r="5" spans="2:2" ht="28" x14ac:dyDescent="0.35">
      <c r="B5" s="103" t="s">
        <v>946</v>
      </c>
    </row>
    <row r="6" spans="2:2" x14ac:dyDescent="0.35">
      <c r="B6" s="103" t="s">
        <v>947</v>
      </c>
    </row>
    <row r="7" spans="2:2" x14ac:dyDescent="0.35">
      <c r="B7" s="103" t="s">
        <v>948</v>
      </c>
    </row>
    <row r="8" spans="2:2" ht="17.5" x14ac:dyDescent="0.35">
      <c r="B8" s="106" t="s">
        <v>949</v>
      </c>
    </row>
    <row r="9" spans="2:2" x14ac:dyDescent="0.35">
      <c r="B9" s="103" t="s">
        <v>950</v>
      </c>
    </row>
    <row r="10" spans="2:2" x14ac:dyDescent="0.35">
      <c r="B10" s="103" t="s">
        <v>951</v>
      </c>
    </row>
    <row r="11" spans="2:2" x14ac:dyDescent="0.35">
      <c r="B11" s="103" t="s">
        <v>952</v>
      </c>
    </row>
    <row r="12" spans="2:2" x14ac:dyDescent="0.35">
      <c r="B12" s="103" t="s">
        <v>953</v>
      </c>
    </row>
    <row r="13" spans="2:2" x14ac:dyDescent="0.35">
      <c r="B13" s="103" t="s">
        <v>954</v>
      </c>
    </row>
    <row r="14" spans="2:2" ht="17.5" x14ac:dyDescent="0.35">
      <c r="B14" s="106" t="s">
        <v>955</v>
      </c>
    </row>
    <row r="15" spans="2:2" x14ac:dyDescent="0.35">
      <c r="B15" s="103" t="s">
        <v>956</v>
      </c>
    </row>
    <row r="16" spans="2:2" x14ac:dyDescent="0.35">
      <c r="B16" s="103" t="s">
        <v>957</v>
      </c>
    </row>
    <row r="17" spans="2:2" ht="17.5" x14ac:dyDescent="0.35">
      <c r="B17" s="106" t="s">
        <v>958</v>
      </c>
    </row>
    <row r="18" spans="2:2" ht="16.5" customHeight="1" x14ac:dyDescent="0.35">
      <c r="B18" s="103" t="s">
        <v>959</v>
      </c>
    </row>
    <row r="19" spans="2:2" ht="17.5" x14ac:dyDescent="0.35">
      <c r="B19" s="106" t="s">
        <v>960</v>
      </c>
    </row>
    <row r="20" spans="2:2" x14ac:dyDescent="0.35">
      <c r="B20" s="103" t="s">
        <v>961</v>
      </c>
    </row>
    <row r="21" spans="2:2" x14ac:dyDescent="0.35">
      <c r="B21" s="103" t="s">
        <v>962</v>
      </c>
    </row>
    <row r="22" spans="2:2" x14ac:dyDescent="0.35">
      <c r="B22" s="103" t="s">
        <v>963</v>
      </c>
    </row>
    <row r="23" spans="2:2" ht="28" x14ac:dyDescent="0.35">
      <c r="B23" s="103" t="s">
        <v>964</v>
      </c>
    </row>
    <row r="24" spans="2:2" ht="17.5" x14ac:dyDescent="0.35">
      <c r="B24" s="106" t="s">
        <v>965</v>
      </c>
    </row>
    <row r="25" spans="2:2" ht="42" x14ac:dyDescent="0.35">
      <c r="B25" s="103" t="s">
        <v>966</v>
      </c>
    </row>
    <row r="26" spans="2:2" ht="28" x14ac:dyDescent="0.35">
      <c r="B26" s="103" t="s">
        <v>967</v>
      </c>
    </row>
    <row r="27" spans="2:2" ht="18.75" customHeight="1" x14ac:dyDescent="0.35">
      <c r="B27" s="103" t="s">
        <v>968</v>
      </c>
    </row>
    <row r="28" spans="2:2" ht="28" x14ac:dyDescent="0.35">
      <c r="B28" s="103" t="s">
        <v>969</v>
      </c>
    </row>
    <row r="29" spans="2:2" ht="17.5" x14ac:dyDescent="0.35">
      <c r="B29" s="106" t="s">
        <v>970</v>
      </c>
    </row>
    <row r="30" spans="2:2" x14ac:dyDescent="0.35">
      <c r="B30" s="103" t="s">
        <v>971</v>
      </c>
    </row>
    <row r="31" spans="2:2" ht="33.75" customHeight="1" x14ac:dyDescent="0.35">
      <c r="B31" s="103" t="s">
        <v>972</v>
      </c>
    </row>
    <row r="32" spans="2:2" ht="28" x14ac:dyDescent="0.35">
      <c r="B32" s="103" t="s">
        <v>973</v>
      </c>
    </row>
    <row r="33" spans="2:2" ht="17.5" x14ac:dyDescent="0.35">
      <c r="B33" s="106" t="s">
        <v>974</v>
      </c>
    </row>
    <row r="34" spans="2:2" x14ac:dyDescent="0.35">
      <c r="B34" s="103" t="s">
        <v>975</v>
      </c>
    </row>
    <row r="35" spans="2:2" x14ac:dyDescent="0.35">
      <c r="B35" s="103" t="s">
        <v>976</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593B7-5DF0-4C27-B8E2-1F14A6D3D3DB}">
  <dimension ref="B2:C12"/>
  <sheetViews>
    <sheetView topLeftCell="A10" workbookViewId="0">
      <selection activeCell="C11" sqref="C11"/>
    </sheetView>
  </sheetViews>
  <sheetFormatPr defaultColWidth="8.90625" defaultRowHeight="14.5" x14ac:dyDescent="0.35"/>
  <cols>
    <col min="1" max="1" width="8.90625" style="132"/>
    <col min="2" max="2" width="13.6328125" style="132" customWidth="1"/>
    <col min="3" max="3" width="50.453125" style="132" customWidth="1"/>
    <col min="4" max="16384" width="8.90625" style="132"/>
  </cols>
  <sheetData>
    <row r="2" spans="2:3" x14ac:dyDescent="0.35">
      <c r="B2" s="133" t="s">
        <v>977</v>
      </c>
      <c r="C2" s="133" t="s">
        <v>734</v>
      </c>
    </row>
    <row r="3" spans="2:3" x14ac:dyDescent="0.35">
      <c r="B3" s="134" t="s">
        <v>978</v>
      </c>
      <c r="C3" s="134" t="s">
        <v>979</v>
      </c>
    </row>
    <row r="4" spans="2:3" x14ac:dyDescent="0.35">
      <c r="B4" s="134" t="s">
        <v>980</v>
      </c>
      <c r="C4" s="134" t="s">
        <v>981</v>
      </c>
    </row>
    <row r="5" spans="2:3" x14ac:dyDescent="0.35">
      <c r="B5" s="134" t="s">
        <v>115</v>
      </c>
      <c r="C5" s="134" t="s">
        <v>982</v>
      </c>
    </row>
    <row r="6" spans="2:3" x14ac:dyDescent="0.35">
      <c r="B6" s="134" t="s">
        <v>983</v>
      </c>
      <c r="C6" s="134" t="s">
        <v>984</v>
      </c>
    </row>
    <row r="7" spans="2:3" x14ac:dyDescent="0.35">
      <c r="B7" s="134" t="s">
        <v>778</v>
      </c>
      <c r="C7" s="134" t="s">
        <v>985</v>
      </c>
    </row>
    <row r="8" spans="2:3" x14ac:dyDescent="0.35">
      <c r="B8" s="134" t="s">
        <v>986</v>
      </c>
      <c r="C8" s="134" t="s">
        <v>987</v>
      </c>
    </row>
    <row r="9" spans="2:3" x14ac:dyDescent="0.35">
      <c r="B9" s="134" t="s">
        <v>879</v>
      </c>
      <c r="C9" s="134" t="s">
        <v>930</v>
      </c>
    </row>
    <row r="10" spans="2:3" x14ac:dyDescent="0.35">
      <c r="B10" s="134" t="s">
        <v>110</v>
      </c>
      <c r="C10" s="134" t="s">
        <v>988</v>
      </c>
    </row>
    <row r="11" spans="2:3" x14ac:dyDescent="0.35">
      <c r="B11" s="134" t="s">
        <v>989</v>
      </c>
      <c r="C11" s="134" t="s">
        <v>990</v>
      </c>
    </row>
    <row r="12" spans="2:3" x14ac:dyDescent="0.35">
      <c r="B12" s="134" t="s">
        <v>111</v>
      </c>
      <c r="C12" s="134" t="s">
        <v>991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C2:D6"/>
  <sheetViews>
    <sheetView workbookViewId="0">
      <selection activeCell="E7" sqref="E7"/>
    </sheetView>
  </sheetViews>
  <sheetFormatPr defaultRowHeight="14.5" x14ac:dyDescent="0.35"/>
  <sheetData>
    <row r="2" spans="3:4" x14ac:dyDescent="0.35">
      <c r="C2" s="40" t="s">
        <v>110</v>
      </c>
      <c r="D2" s="40" t="s">
        <v>115</v>
      </c>
    </row>
    <row r="3" spans="3:4" x14ac:dyDescent="0.35">
      <c r="C3" s="40" t="s">
        <v>986</v>
      </c>
      <c r="D3" s="40" t="s">
        <v>992</v>
      </c>
    </row>
    <row r="4" spans="3:4" x14ac:dyDescent="0.35">
      <c r="C4" s="40" t="s">
        <v>111</v>
      </c>
      <c r="D4" s="40" t="s">
        <v>993</v>
      </c>
    </row>
    <row r="5" spans="3:4" x14ac:dyDescent="0.35">
      <c r="C5" s="40"/>
      <c r="D5" s="40" t="s">
        <v>994</v>
      </c>
    </row>
    <row r="6" spans="3:4" x14ac:dyDescent="0.35">
      <c r="C6" s="40"/>
      <c r="D6" s="40" t="s">
        <v>995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398674EF724304882ED7BEF163D43C7" ma:contentTypeVersion="15" ma:contentTypeDescription="Create a new document." ma:contentTypeScope="" ma:versionID="aedd90910cf66a30edb78e23da251a43">
  <xsd:schema xmlns:xsd="http://www.w3.org/2001/XMLSchema" xmlns:xs="http://www.w3.org/2001/XMLSchema" xmlns:p="http://schemas.microsoft.com/office/2006/metadata/properties" xmlns:ns2="097e8dbe-0d50-476e-88b2-e7110ff6acb0" xmlns:ns3="d4ca431b-a67f-4d33-9911-e1c9c34a72a8" targetNamespace="http://schemas.microsoft.com/office/2006/metadata/properties" ma:root="true" ma:fieldsID="a91f5f5a5b57cbdc669685b527a972a9" ns2:_="" ns3:_="">
    <xsd:import namespace="097e8dbe-0d50-476e-88b2-e7110ff6acb0"/>
    <xsd:import namespace="d4ca431b-a67f-4d33-9911-e1c9c34a72a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_Flow_SignoffStatus"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97e8dbe-0d50-476e-88b2-e7110ff6acb0"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_Flow_SignoffStatus" ma:index="15" nillable="true" ma:displayName="Sign-off status" ma:internalName="Sign_x002d_off_x0020_status">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4ca431b-a67f-4d33-9911-e1c9c34a72a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d4ca431b-a67f-4d33-9911-e1c9c34a72a8">
      <UserInfo>
        <DisplayName/>
        <AccountId xsi:nil="true"/>
        <AccountType/>
      </UserInfo>
    </SharedWithUsers>
    <_Flow_SignoffStatus xmlns="097e8dbe-0d50-476e-88b2-e7110ff6acb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4186BA6-9A81-45D6-A8C1-BED18333DE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97e8dbe-0d50-476e-88b2-e7110ff6acb0"/>
    <ds:schemaRef ds:uri="d4ca431b-a67f-4d33-9911-e1c9c34a72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D1C5D91-6B12-48E6-89A3-AC07651EA2F9}">
  <ds:schemaRefs>
    <ds:schemaRef ds:uri="http://purl.org/dc/dcmitype/"/>
    <ds:schemaRef ds:uri="http://purl.org/dc/terms/"/>
    <ds:schemaRef ds:uri="http://www.w3.org/XML/1998/namespace"/>
    <ds:schemaRef ds:uri="http://purl.org/dc/elements/1.1/"/>
    <ds:schemaRef ds:uri="http://schemas.microsoft.com/office/infopath/2007/PartnerControls"/>
    <ds:schemaRef ds:uri="http://schemas.openxmlformats.org/package/2006/metadata/core-properties"/>
    <ds:schemaRef ds:uri="http://schemas.microsoft.com/office/2006/documentManagement/types"/>
    <ds:schemaRef ds:uri="d4ca431b-a67f-4d33-9911-e1c9c34a72a8"/>
    <ds:schemaRef ds:uri="097e8dbe-0d50-476e-88b2-e7110ff6acb0"/>
    <ds:schemaRef ds:uri="http://schemas.microsoft.com/office/2006/metadata/properties"/>
  </ds:schemaRefs>
</ds:datastoreItem>
</file>

<file path=customXml/itemProps3.xml><?xml version="1.0" encoding="utf-8"?>
<ds:datastoreItem xmlns:ds="http://schemas.openxmlformats.org/officeDocument/2006/customXml" ds:itemID="{52E14A14-27C9-4A0E-B492-5E16F976F63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58</vt:i4>
      </vt:variant>
    </vt:vector>
  </HeadingPairs>
  <TitlesOfParts>
    <vt:vector size="68" baseType="lpstr">
      <vt:lpstr>Template Info</vt:lpstr>
      <vt:lpstr>Document Info</vt:lpstr>
      <vt:lpstr>ISO 26262 Safety Case</vt:lpstr>
      <vt:lpstr>Sign Off Checklist</vt:lpstr>
      <vt:lpstr>Product Impact Analysis</vt:lpstr>
      <vt:lpstr>CIB_Deliverables</vt:lpstr>
      <vt:lpstr>Components</vt:lpstr>
      <vt:lpstr>Work Instructions</vt:lpstr>
      <vt:lpstr>Abbreviation</vt:lpstr>
      <vt:lpstr>Sheet1</vt:lpstr>
      <vt:lpstr>lookup_data</vt:lpstr>
      <vt:lpstr>'ISO 26262 Safety Case'!var_DataSheet_T</vt:lpstr>
      <vt:lpstr>var_sc_T116</vt:lpstr>
      <vt:lpstr>var_sc_T117</vt:lpstr>
      <vt:lpstr>var_sc_T118</vt:lpstr>
      <vt:lpstr>var_sc_T119</vt:lpstr>
      <vt:lpstr>var_sc_T12</vt:lpstr>
      <vt:lpstr>var_sc_T120</vt:lpstr>
      <vt:lpstr>var_sc_T124</vt:lpstr>
      <vt:lpstr>var_sc_T128</vt:lpstr>
      <vt:lpstr>var_sc_T129</vt:lpstr>
      <vt:lpstr>var_sc_T13</vt:lpstr>
      <vt:lpstr>var_sc_T132</vt:lpstr>
      <vt:lpstr>var_sc_T133</vt:lpstr>
      <vt:lpstr>var_sc_T134</vt:lpstr>
      <vt:lpstr>var_sc_T138</vt:lpstr>
      <vt:lpstr>var_sc_T141</vt:lpstr>
      <vt:lpstr>var_sc_T144</vt:lpstr>
      <vt:lpstr>var_sc_T147</vt:lpstr>
      <vt:lpstr>var_sc_T148</vt:lpstr>
      <vt:lpstr>var_sc_T149</vt:lpstr>
      <vt:lpstr>var_sc_T15</vt:lpstr>
      <vt:lpstr>var_sc_T152</vt:lpstr>
      <vt:lpstr>var_sc_T155</vt:lpstr>
      <vt:lpstr>var_sc_T160</vt:lpstr>
      <vt:lpstr>var_sc_T161</vt:lpstr>
      <vt:lpstr>var_sc_T168</vt:lpstr>
      <vt:lpstr>var_sc_T169</vt:lpstr>
      <vt:lpstr>var_sc_T170</vt:lpstr>
      <vt:lpstr>var_sc_T18</vt:lpstr>
      <vt:lpstr>var_sc_T23</vt:lpstr>
      <vt:lpstr>var_sc_T25</vt:lpstr>
      <vt:lpstr>var_sc_T26</vt:lpstr>
      <vt:lpstr>var_sc_T27</vt:lpstr>
      <vt:lpstr>var_sc_T28</vt:lpstr>
      <vt:lpstr>var_sc_T45</vt:lpstr>
      <vt:lpstr>var_sc_T46</vt:lpstr>
      <vt:lpstr>var_sc_T52</vt:lpstr>
      <vt:lpstr>var_sc_T65</vt:lpstr>
      <vt:lpstr>var_sc_T66</vt:lpstr>
      <vt:lpstr>var_sc_T67</vt:lpstr>
      <vt:lpstr>var_sc_T68</vt:lpstr>
      <vt:lpstr>var_sc_T70</vt:lpstr>
      <vt:lpstr>var_sc_T71</vt:lpstr>
      <vt:lpstr>var_sc_T72</vt:lpstr>
      <vt:lpstr>var_sc_T73</vt:lpstr>
      <vt:lpstr>var_sc_T74</vt:lpstr>
      <vt:lpstr>var_sc_T75</vt:lpstr>
      <vt:lpstr>var_sc_T77</vt:lpstr>
      <vt:lpstr>var_sc_T78</vt:lpstr>
      <vt:lpstr>var_sc_T79</vt:lpstr>
      <vt:lpstr>var_sc_T80</vt:lpstr>
      <vt:lpstr>var_sc_T81</vt:lpstr>
      <vt:lpstr>var_sc_T82</vt:lpstr>
      <vt:lpstr>var_sc_T83</vt:lpstr>
      <vt:lpstr>var_sc_T84</vt:lpstr>
      <vt:lpstr>var_sc_T85</vt:lpstr>
      <vt:lpstr>var_sc_T86</vt:lpstr>
    </vt:vector>
  </TitlesOfParts>
  <Manager/>
  <Company>Freescale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Safety_Case template</dc:title>
  <dc:subject>MCU</dc:subject>
  <dc:creator>r61692</dc:creator>
  <cp:keywords/>
  <dc:description/>
  <cp:lastModifiedBy>Rashmi K C</cp:lastModifiedBy>
  <cp:revision/>
  <dcterms:created xsi:type="dcterms:W3CDTF">2014-01-07T14:22:11Z</dcterms:created>
  <dcterms:modified xsi:type="dcterms:W3CDTF">2022-10-28T10:34:09Z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0x0101006398674EF724304882ED7BEF163D43C7</vt:lpwstr>
  </property>
  <property fmtid="{D5CDD505-2E9C-101B-9397-08002B2CF9AE}" pid="3" name="IsMyDocuments">
    <vt:bool>true</vt:bool>
  </property>
  <property fmtid="{D5CDD505-2E9C-101B-9397-08002B2CF9AE}" pid="4" name="_dlc_DocIdItemGuid">
    <vt:lpwstr>6d868072-e377-4c9e-91ba-e1673869ff8d</vt:lpwstr>
  </property>
  <property fmtid="{D5CDD505-2E9C-101B-9397-08002B2CF9AE}" pid="5" name="AuthorIds_UIVersion_512">
    <vt:lpwstr>103</vt:lpwstr>
  </property>
  <property fmtid="{D5CDD505-2E9C-101B-9397-08002B2CF9AE}" pid="6" name="Order">
    <vt:r8>18559500</vt:r8>
  </property>
  <property fmtid="{D5CDD505-2E9C-101B-9397-08002B2CF9AE}" pid="7" name="xd_Signature">
    <vt:bool>false</vt:bool>
  </property>
  <property fmtid="{D5CDD505-2E9C-101B-9397-08002B2CF9AE}" pid="8" name="xd_ProgID">
    <vt:lpwstr/>
  </property>
  <property fmtid="{D5CDD505-2E9C-101B-9397-08002B2CF9AE}" pid="9" name="TemplateUrl">
    <vt:lpwstr/>
  </property>
  <property fmtid="{D5CDD505-2E9C-101B-9397-08002B2CF9AE}" pid="10" name="ComplianceAssetId">
    <vt:lpwstr/>
  </property>
</Properties>
</file>